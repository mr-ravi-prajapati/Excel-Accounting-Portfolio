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vik\Downloads\"/>
    </mc:Choice>
  </mc:AlternateContent>
  <xr:revisionPtr revIDLastSave="0" documentId="13_ncr:1_{770EF351-C93D-406E-933F-BBEEF21506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Summary" sheetId="2" r:id="rId2"/>
    <sheet name="Raw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02" i="3" l="1"/>
  <c r="C21" i="2"/>
  <c r="C20" i="2"/>
  <c r="C19" i="2"/>
  <c r="C16" i="2"/>
  <c r="C15" i="2"/>
  <c r="C14" i="2"/>
  <c r="C13" i="2"/>
  <c r="C12" i="2"/>
  <c r="H8" i="2"/>
  <c r="G8" i="2"/>
  <c r="F8" i="2"/>
  <c r="D8" i="2"/>
  <c r="C8" i="2"/>
  <c r="H7" i="2"/>
  <c r="G7" i="2"/>
  <c r="F7" i="2"/>
  <c r="D7" i="2"/>
  <c r="C7" i="2"/>
  <c r="H6" i="2"/>
  <c r="G6" i="2"/>
  <c r="F6" i="2"/>
  <c r="D6" i="2"/>
  <c r="C6" i="2"/>
  <c r="H5" i="2"/>
  <c r="G5" i="2"/>
  <c r="F5" i="2"/>
  <c r="D5" i="2"/>
  <c r="C5" i="2"/>
  <c r="H4" i="2"/>
  <c r="G4" i="2"/>
  <c r="F4" i="2"/>
  <c r="D4" i="2"/>
  <c r="C4" i="2"/>
  <c r="H3" i="2"/>
  <c r="G3" i="2"/>
  <c r="F3" i="2"/>
  <c r="D3" i="2"/>
  <c r="C3" i="2"/>
  <c r="B29" i="1"/>
  <c r="B28" i="1"/>
  <c r="B27" i="1"/>
  <c r="B26" i="1"/>
  <c r="B25" i="1"/>
  <c r="B24" i="1"/>
  <c r="B23" i="1"/>
  <c r="C9" i="2" l="1"/>
  <c r="E4" i="2"/>
  <c r="H24" i="1" s="1"/>
  <c r="E3" i="2"/>
  <c r="E6" i="2"/>
  <c r="H26" i="1" s="1"/>
  <c r="E5" i="2"/>
  <c r="H25" i="1" s="1"/>
  <c r="N28" i="1"/>
  <c r="L28" i="1"/>
  <c r="J28" i="1"/>
  <c r="F28" i="1"/>
  <c r="D28" i="1"/>
  <c r="N27" i="1"/>
  <c r="J27" i="1"/>
  <c r="F27" i="1"/>
  <c r="D27" i="1"/>
  <c r="N26" i="1"/>
  <c r="L26" i="1"/>
  <c r="J26" i="1"/>
  <c r="F26" i="1"/>
  <c r="D26" i="1"/>
  <c r="L27" i="1"/>
  <c r="H9" i="2"/>
  <c r="G9" i="2"/>
  <c r="F9" i="2"/>
  <c r="D9" i="2"/>
  <c r="N25" i="1"/>
  <c r="L25" i="1"/>
  <c r="J25" i="1"/>
  <c r="F25" i="1"/>
  <c r="D25" i="1"/>
  <c r="N24" i="1"/>
  <c r="L24" i="1"/>
  <c r="J24" i="1"/>
  <c r="F24" i="1"/>
  <c r="D24" i="1"/>
  <c r="L23" i="1"/>
  <c r="J23" i="1"/>
  <c r="F23" i="1"/>
  <c r="D23" i="1"/>
  <c r="E8" i="2"/>
  <c r="H28" i="1" s="1"/>
  <c r="E7" i="2"/>
  <c r="H27" i="1" s="1"/>
  <c r="N23" i="1"/>
  <c r="B3" i="1" l="1"/>
  <c r="D29" i="1"/>
  <c r="H23" i="1"/>
  <c r="E9" i="2"/>
  <c r="N29" i="1"/>
  <c r="V3" i="1"/>
  <c r="L29" i="1"/>
  <c r="R3" i="1"/>
  <c r="J29" i="1"/>
  <c r="N3" i="1"/>
  <c r="F29" i="1"/>
  <c r="F3" i="1"/>
  <c r="H29" i="1" l="1"/>
  <c r="J3" i="1"/>
</calcChain>
</file>

<file path=xl/sharedStrings.xml><?xml version="1.0" encoding="utf-8"?>
<sst xmlns="http://schemas.openxmlformats.org/spreadsheetml/2006/main" count="5048" uniqueCount="1042">
  <si>
    <t>Total Revenue</t>
  </si>
  <si>
    <t>Total Expenses</t>
  </si>
  <si>
    <t>Net Profit</t>
  </si>
  <si>
    <t>Total Invoices</t>
  </si>
  <si>
    <t>Accounts Receivable</t>
  </si>
  <si>
    <t>Accounts Payable</t>
  </si>
  <si>
    <t>Monthly Summary</t>
  </si>
  <si>
    <t>Month</t>
  </si>
  <si>
    <t>Revenue (₹)</t>
  </si>
  <si>
    <t>Expenses (₹)</t>
  </si>
  <si>
    <t>Net Profit (₹)</t>
  </si>
  <si>
    <t>Invoices</t>
  </si>
  <si>
    <t>AR (₹)</t>
  </si>
  <si>
    <t>AP (₹)</t>
  </si>
  <si>
    <t>Revenue</t>
  </si>
  <si>
    <t>Expense</t>
  </si>
  <si>
    <t>AR</t>
  </si>
  <si>
    <t>AP</t>
  </si>
  <si>
    <t>Jan</t>
  </si>
  <si>
    <t>Feb</t>
  </si>
  <si>
    <t>Mar</t>
  </si>
  <si>
    <t>Apr</t>
  </si>
  <si>
    <t>May</t>
  </si>
  <si>
    <t>Jun</t>
  </si>
  <si>
    <t>Total</t>
  </si>
  <si>
    <t>Expense Category</t>
  </si>
  <si>
    <t>Amount</t>
  </si>
  <si>
    <t>Raw Material</t>
  </si>
  <si>
    <t>Employee Cost</t>
  </si>
  <si>
    <t>Utilities</t>
  </si>
  <si>
    <t>Logistics</t>
  </si>
  <si>
    <t>Other Expenses</t>
  </si>
  <si>
    <t>Invoice Status</t>
  </si>
  <si>
    <t>Count</t>
  </si>
  <si>
    <t>Paid</t>
  </si>
  <si>
    <t>Pending</t>
  </si>
  <si>
    <t>Overdue</t>
  </si>
  <si>
    <t>Invoice ID</t>
  </si>
  <si>
    <t>Date</t>
  </si>
  <si>
    <t>Type</t>
  </si>
  <si>
    <t>Category</t>
  </si>
  <si>
    <t>INV-1001</t>
  </si>
  <si>
    <t>INV-1002</t>
  </si>
  <si>
    <t>INV-1003</t>
  </si>
  <si>
    <t>INV-1004</t>
  </si>
  <si>
    <t>INV-1005</t>
  </si>
  <si>
    <t>Sales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</si>
  <si>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</si>
  <si>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</si>
  <si>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</si>
  <si>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</si>
  <si>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</si>
  <si>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</si>
  <si>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</si>
  <si>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</si>
  <si>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</si>
  <si>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</si>
  <si>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</si>
  <si>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</si>
  <si>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</si>
  <si>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</si>
  <si>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</si>
  <si>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</si>
  <si>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</si>
  <si>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</si>
  <si>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</si>
  <si>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</si>
  <si>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</si>
  <si>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</si>
  <si>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</si>
  <si>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</si>
  <si>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</si>
  <si>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</si>
  <si>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</si>
  <si>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</si>
  <si>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</si>
  <si>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</si>
  <si>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</si>
  <si>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</si>
  <si>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</si>
  <si>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</si>
  <si>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</si>
  <si>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</si>
  <si>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</si>
  <si>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</si>
  <si>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</si>
  <si>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</si>
  <si>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</si>
  <si>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</si>
  <si>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</si>
  <si>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</si>
  <si>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</si>
  <si>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</si>
  <si>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</si>
  <si>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</si>
  <si>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</si>
  <si>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</si>
  <si>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</si>
  <si>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</si>
  <si>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</si>
  <si>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</si>
  <si>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</si>
  <si>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</si>
  <si>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</si>
  <si>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</si>
  <si>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</si>
  <si>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</si>
  <si>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</si>
  <si>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</si>
  <si>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</si>
  <si>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</si>
  <si>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</si>
  <si>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</si>
  <si>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</si>
  <si>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</si>
  <si>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</si>
  <si>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</si>
  <si>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</si>
  <si>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</si>
  <si>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</si>
  <si>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</si>
  <si>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</si>
  <si>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</si>
  <si>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</si>
  <si>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</si>
  <si>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</si>
  <si>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</si>
  <si>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</si>
  <si>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</si>
  <si>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</si>
  <si>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</si>
  <si>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</si>
  <si>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</si>
  <si>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</si>
  <si>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</si>
  <si>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</si>
  <si>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</si>
  <si>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</si>
  <si>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</si>
  <si>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</si>
  <si>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</si>
  <si>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</si>
  <si>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</si>
  <si>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</si>
  <si>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</si>
  <si>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</si>
  <si>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</si>
  <si>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</si>
  <si>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</si>
  <si>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</si>
  <si>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</si>
  <si>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</si>
  <si>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</si>
  <si>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</si>
  <si>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</si>
  <si>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</si>
  <si>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</si>
  <si>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</si>
  <si>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</si>
  <si>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</si>
  <si>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</si>
  <si>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</si>
  <si>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</si>
  <si>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</si>
  <si>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</si>
  <si>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</si>
  <si>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</si>
  <si>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</si>
  <si>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</si>
  <si>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</si>
  <si>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</si>
  <si>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</si>
  <si>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</si>
  <si>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</si>
  <si>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</si>
  <si>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</si>
  <si>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</si>
  <si>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</si>
  <si>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</si>
  <si>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</si>
  <si>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</si>
  <si>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</si>
  <si>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</si>
  <si>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</si>
  <si>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</si>
  <si>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</si>
  <si>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</si>
  <si>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</si>
  <si>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</si>
  <si>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</si>
  <si>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</si>
  <si>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</si>
  <si>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</si>
  <si>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</si>
  <si>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</si>
  <si>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</si>
  <si>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</si>
  <si>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</si>
  <si>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</si>
  <si>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</si>
  <si>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</si>
  <si>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</si>
  <si>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</si>
  <si>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</si>
  <si>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</si>
  <si>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</si>
  <si>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</si>
  <si>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</si>
  <si>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</si>
  <si>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</si>
  <si>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</si>
  <si>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</si>
  <si>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</si>
  <si>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</si>
  <si>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</si>
  <si>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</si>
  <si>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</si>
  <si>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</si>
  <si>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</si>
  <si>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</si>
  <si>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</si>
  <si>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</si>
  <si>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</si>
  <si>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</si>
  <si>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</si>
  <si>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</si>
  <si>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</si>
  <si>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</si>
  <si>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</si>
  <si>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</si>
  <si>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</si>
  <si>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</si>
  <si>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</si>
  <si>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</si>
  <si>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</si>
  <si>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</si>
  <si>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</si>
  <si>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</si>
  <si>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</si>
  <si>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</si>
  <si>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</si>
  <si>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</si>
  <si>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</si>
  <si>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</si>
  <si>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</si>
  <si>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</si>
  <si>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</si>
  <si>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</si>
  <si>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</si>
  <si>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</si>
  <si>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</si>
  <si>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</si>
  <si>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</si>
  <si>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</si>
  <si>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</si>
  <si>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</si>
  <si>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</si>
  <si>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</si>
  <si>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</si>
  <si>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</si>
  <si>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</si>
  <si>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</si>
  <si>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</si>
  <si>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</si>
  <si>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</si>
  <si>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</si>
  <si>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</si>
  <si>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</si>
  <si>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</si>
  <si>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</si>
  <si>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</si>
  <si>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</si>
  <si>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</si>
  <si>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</si>
  <si>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</si>
  <si>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</si>
  <si>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</si>
  <si>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</si>
  <si>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</si>
  <si>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</si>
  <si>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</si>
  <si>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</si>
  <si>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</si>
  <si>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</si>
  <si>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</si>
  <si>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</si>
  <si>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</si>
  <si>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</si>
  <si>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</si>
  <si>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</si>
  <si>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</si>
  <si>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</si>
  <si>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</si>
  <si>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</si>
  <si>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</si>
  <si>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</si>
  <si>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</si>
  <si>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</si>
  <si>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</si>
  <si>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</si>
  <si>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</si>
  <si>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</si>
  <si>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</si>
  <si>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</si>
  <si>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</si>
  <si>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</si>
  <si>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</si>
  <si>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</si>
  <si>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</si>
  <si>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</si>
  <si>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</si>
  <si>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</si>
  <si>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</si>
  <si>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</si>
  <si>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</si>
  <si>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</si>
  <si>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</si>
  <si>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</si>
  <si>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</si>
  <si>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</si>
  <si>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</si>
  <si>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</si>
  <si>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</si>
  <si>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</si>
  <si>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</si>
  <si>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</si>
  <si>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</si>
  <si>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</si>
  <si>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</si>
  <si>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</si>
  <si>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</si>
  <si>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</si>
  <si>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</si>
  <si>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</si>
  <si>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</si>
  <si>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</si>
  <si>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</si>
  <si>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</si>
  <si>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</si>
  <si>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</si>
  <si>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</si>
  <si>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</si>
  <si>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</si>
  <si>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</si>
  <si>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</si>
  <si>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</si>
  <si>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</si>
  <si>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</si>
  <si>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</si>
  <si>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</si>
  <si>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</si>
  <si>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</si>
  <si>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</si>
  <si>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</si>
  <si>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</si>
  <si>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</si>
  <si>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</si>
  <si>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</si>
  <si>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</si>
  <si>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</si>
  <si>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</si>
  <si>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</si>
  <si>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</si>
  <si>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</si>
  <si>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</si>
  <si>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</si>
  <si>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</si>
  <si>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</si>
  <si>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</si>
  <si>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</si>
  <si>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</si>
  <si>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</si>
  <si>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</si>
  <si>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</si>
  <si>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</si>
  <si>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</si>
  <si>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</si>
  <si>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</si>
  <si>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</si>
  <si>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</si>
  <si>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</si>
  <si>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</si>
  <si>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</si>
  <si>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</si>
  <si>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</si>
  <si>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</si>
  <si>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</si>
  <si>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</si>
  <si>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</si>
  <si>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</si>
  <si>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</si>
  <si>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</si>
  <si>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</si>
  <si>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</si>
  <si>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</si>
  <si>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</si>
  <si>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</si>
  <si>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</si>
  <si>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</si>
  <si>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</si>
  <si>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</si>
  <si>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</si>
  <si>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</si>
  <si>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</si>
  <si>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</si>
  <si>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</si>
  <si>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</si>
  <si>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</si>
  <si>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</si>
  <si>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</si>
  <si>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</si>
  <si>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</si>
  <si>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</si>
  <si>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</si>
  <si>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</si>
  <si>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</si>
  <si>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</si>
  <si>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</si>
  <si>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</si>
  <si>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</si>
  <si>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</si>
  <si>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</si>
  <si>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</si>
  <si>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</si>
  <si>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</si>
  <si>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</si>
  <si>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</si>
  <si>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</si>
  <si>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</si>
  <si>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</si>
  <si>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</si>
  <si>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</si>
  <si>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</si>
  <si>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</si>
  <si>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</si>
  <si>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</si>
  <si>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</si>
  <si>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</si>
  <si>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</si>
  <si>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</si>
  <si>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</si>
  <si>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</si>
  <si>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</si>
  <si>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</si>
  <si>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</si>
  <si>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</si>
  <si>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</si>
  <si>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</si>
  <si>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</si>
  <si>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</si>
  <si>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</si>
  <si>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</si>
  <si>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</si>
  <si>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</si>
  <si>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</si>
  <si>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</si>
  <si>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</si>
  <si>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</si>
  <si>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</si>
  <si>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</si>
  <si>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</si>
  <si>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</si>
  <si>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</si>
  <si>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</si>
  <si>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</si>
  <si>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</si>
  <si>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</si>
  <si>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</si>
  <si>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</si>
  <si>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</si>
  <si>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</si>
  <si>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</si>
  <si>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</si>
  <si>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</si>
  <si>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</si>
  <si>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</si>
  <si>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</si>
  <si>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</si>
  <si>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</si>
  <si>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</si>
  <si>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</si>
  <si>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</si>
  <si>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</si>
  <si>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</si>
  <si>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</si>
  <si>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</si>
  <si>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</si>
  <si>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</si>
  <si>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</si>
  <si>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</si>
  <si>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</si>
  <si>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</si>
  <si>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</si>
  <si>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</si>
  <si>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</si>
  <si>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</si>
  <si>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</si>
  <si>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</si>
  <si>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</si>
  <si>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</si>
  <si>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</si>
  <si>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</si>
  <si>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</si>
  <si>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</si>
  <si>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</si>
  <si>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</si>
  <si>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</si>
  <si>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</si>
  <si>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</si>
  <si>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</si>
  <si>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</si>
  <si>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</si>
  <si>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</si>
  <si>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</si>
  <si>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</si>
  <si>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</si>
  <si>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</si>
  <si>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</si>
  <si>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</si>
  <si>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</si>
  <si>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</si>
  <si>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</si>
  <si>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</si>
  <si>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</si>
  <si>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</si>
  <si>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</si>
  <si>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</si>
  <si>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</si>
  <si>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</si>
  <si>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</si>
  <si>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</si>
  <si>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</si>
  <si>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</si>
  <si>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</si>
  <si>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</si>
  <si>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</si>
  <si>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</si>
  <si>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</si>
  <si>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</si>
  <si>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</si>
  <si>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</si>
  <si>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INV-1500</t>
  </si>
  <si>
    <t>INV-1501</t>
  </si>
  <si>
    <t>INV-1502</t>
  </si>
  <si>
    <t>INV-1503</t>
  </si>
  <si>
    <t>INV-1504</t>
  </si>
  <si>
    <t>INV-1505</t>
  </si>
  <si>
    <t>INV-1506</t>
  </si>
  <si>
    <t>INV-1507</t>
  </si>
  <si>
    <t>INV-1508</t>
  </si>
  <si>
    <t>INV-1509</t>
  </si>
  <si>
    <t>INV-1510</t>
  </si>
  <si>
    <t>INV-1511</t>
  </si>
  <si>
    <t>INV-1512</t>
  </si>
  <si>
    <t>INV-1513</t>
  </si>
  <si>
    <t>INV-1514</t>
  </si>
  <si>
    <t>INV-1515</t>
  </si>
  <si>
    <t>INV-1516</t>
  </si>
  <si>
    <t>INV-1517</t>
  </si>
  <si>
    <t>INV-1518</t>
  </si>
  <si>
    <t>INV-1519</t>
  </si>
  <si>
    <t>INV-1520</t>
  </si>
  <si>
    <t>INV-1521</t>
  </si>
  <si>
    <t>INV-1522</t>
  </si>
  <si>
    <t>INV-1523</t>
  </si>
  <si>
    <t>INV-1524</t>
  </si>
  <si>
    <t>INV-1525</t>
  </si>
  <si>
    <t>INV-1526</t>
  </si>
  <si>
    <t>INV-1527</t>
  </si>
  <si>
    <t>INV-1528</t>
  </si>
  <si>
    <t>INV-1529</t>
  </si>
  <si>
    <t>INV-1530</t>
  </si>
  <si>
    <t>INV-1531</t>
  </si>
  <si>
    <t>INV-1532</t>
  </si>
  <si>
    <t>INV-1533</t>
  </si>
  <si>
    <t>INV-1534</t>
  </si>
  <si>
    <t>INV-1535</t>
  </si>
  <si>
    <t>INV-1536</t>
  </si>
  <si>
    <t>INV-1537</t>
  </si>
  <si>
    <t>INV-1538</t>
  </si>
  <si>
    <t>INV-1539</t>
  </si>
  <si>
    <t>INV-1540</t>
  </si>
  <si>
    <t>INV-1541</t>
  </si>
  <si>
    <t>INV-1542</t>
  </si>
  <si>
    <t>INV-1543</t>
  </si>
  <si>
    <t>INV-1544</t>
  </si>
  <si>
    <t>INV-1545</t>
  </si>
  <si>
    <t>INV-1546</t>
  </si>
  <si>
    <t>INV-1547</t>
  </si>
  <si>
    <t>INV-1548</t>
  </si>
  <si>
    <t>INV-1549</t>
  </si>
  <si>
    <t>INV-1550</t>
  </si>
  <si>
    <t>INV-1551</t>
  </si>
  <si>
    <t>INV-1552</t>
  </si>
  <si>
    <t>INV-1553</t>
  </si>
  <si>
    <t>INV-1554</t>
  </si>
  <si>
    <t>INV-1555</t>
  </si>
  <si>
    <t>INV-1556</t>
  </si>
  <si>
    <t>INV-1557</t>
  </si>
  <si>
    <t>INV-1558</t>
  </si>
  <si>
    <t>INV-1559</t>
  </si>
  <si>
    <t>INV-1560</t>
  </si>
  <si>
    <t>INV-1561</t>
  </si>
  <si>
    <t>INV-1562</t>
  </si>
  <si>
    <t>INV-1563</t>
  </si>
  <si>
    <t>INV-1564</t>
  </si>
  <si>
    <t>INV-1565</t>
  </si>
  <si>
    <t>INV-1566</t>
  </si>
  <si>
    <t>INV-1567</t>
  </si>
  <si>
    <t>INV-1568</t>
  </si>
  <si>
    <t>INV-1569</t>
  </si>
  <si>
    <t>INV-1570</t>
  </si>
  <si>
    <t>INV-1571</t>
  </si>
  <si>
    <t>INV-1572</t>
  </si>
  <si>
    <t>INV-1573</t>
  </si>
  <si>
    <t>INV-1574</t>
  </si>
  <si>
    <t>INV-1575</t>
  </si>
  <si>
    <t>INV-1576</t>
  </si>
  <si>
    <t>INV-1577</t>
  </si>
  <si>
    <t>INV-1578</t>
  </si>
  <si>
    <t>INV-1579</t>
  </si>
  <si>
    <t>INV-1580</t>
  </si>
  <si>
    <t>INV-1581</t>
  </si>
  <si>
    <t>INV-1582</t>
  </si>
  <si>
    <t>INV-1583</t>
  </si>
  <si>
    <t>INV-1584</t>
  </si>
  <si>
    <t>INV-1585</t>
  </si>
  <si>
    <t>INV-1586</t>
  </si>
  <si>
    <t>INV-1587</t>
  </si>
  <si>
    <t>INV-1588</t>
  </si>
  <si>
    <t>INV-1589</t>
  </si>
  <si>
    <t>INV-1590</t>
  </si>
  <si>
    <t>INV-1591</t>
  </si>
  <si>
    <t>INV-1592</t>
  </si>
  <si>
    <t>INV-1593</t>
  </si>
  <si>
    <t>INV-1594</t>
  </si>
  <si>
    <t>INV-1595</t>
  </si>
  <si>
    <t>INV-1596</t>
  </si>
  <si>
    <t>INV-1597</t>
  </si>
  <si>
    <t>INV-1598</t>
  </si>
  <si>
    <t>INV-1599</t>
  </si>
  <si>
    <t>INV-1600</t>
  </si>
  <si>
    <t>INV-1601</t>
  </si>
  <si>
    <t>INV-1602</t>
  </si>
  <si>
    <t>INV-1603</t>
  </si>
  <si>
    <t>INV-1604</t>
  </si>
  <si>
    <t>INV-1605</t>
  </si>
  <si>
    <t>INV-1606</t>
  </si>
  <si>
    <t>INV-1607</t>
  </si>
  <si>
    <t>INV-1608</t>
  </si>
  <si>
    <t>INV-1609</t>
  </si>
  <si>
    <t>INV-1610</t>
  </si>
  <si>
    <t>INV-1611</t>
  </si>
  <si>
    <t>INV-1612</t>
  </si>
  <si>
    <t>INV-1613</t>
  </si>
  <si>
    <t>INV-1614</t>
  </si>
  <si>
    <t>INV-1615</t>
  </si>
  <si>
    <t>INV-1616</t>
  </si>
  <si>
    <t>INV-1617</t>
  </si>
  <si>
    <t>INV-1618</t>
  </si>
  <si>
    <t>INV-1619</t>
  </si>
  <si>
    <t>INV-1620</t>
  </si>
  <si>
    <t>INV-1621</t>
  </si>
  <si>
    <t>INV-1622</t>
  </si>
  <si>
    <t>INV-1623</t>
  </si>
  <si>
    <t>INV-1624</t>
  </si>
  <si>
    <t>INV-1625</t>
  </si>
  <si>
    <t>INV-1626</t>
  </si>
  <si>
    <t>INV-1627</t>
  </si>
  <si>
    <t>INV-1628</t>
  </si>
  <si>
    <t>INV-1629</t>
  </si>
  <si>
    <t>INV-1630</t>
  </si>
  <si>
    <t>INV-1631</t>
  </si>
  <si>
    <t>INV-1632</t>
  </si>
  <si>
    <t>INV-1633</t>
  </si>
  <si>
    <t>INV-1634</t>
  </si>
  <si>
    <t>INV-1635</t>
  </si>
  <si>
    <t>INV-1636</t>
  </si>
  <si>
    <t>INV-1637</t>
  </si>
  <si>
    <t>INV-1638</t>
  </si>
  <si>
    <t>INV-1639</t>
  </si>
  <si>
    <t>INV-1640</t>
  </si>
  <si>
    <t>INV-1641</t>
  </si>
  <si>
    <t>INV-1642</t>
  </si>
  <si>
    <t>INV-1643</t>
  </si>
  <si>
    <t>INV-1644</t>
  </si>
  <si>
    <t>INV-1645</t>
  </si>
  <si>
    <t>INV-1646</t>
  </si>
  <si>
    <t>INV-1647</t>
  </si>
  <si>
    <t>INV-1648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</si>
  <si>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</si>
  <si>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</si>
  <si>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</si>
  <si>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</si>
  <si>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</si>
  <si>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</si>
  <si>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</si>
  <si>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</si>
  <si>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</si>
  <si>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</si>
  <si>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</si>
  <si>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</si>
  <si>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</si>
  <si>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</si>
  <si>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</si>
  <si>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</si>
  <si>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</si>
  <si>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INV-1666</t>
  </si>
  <si>
    <t>INV-1667</t>
  </si>
  <si>
    <t>INV-1668</t>
  </si>
  <si>
    <t>INV-1669</t>
  </si>
  <si>
    <t>INV-1670</t>
  </si>
  <si>
    <t>INV-1671</t>
  </si>
  <si>
    <t>INV-1672</t>
  </si>
  <si>
    <t>INV-1673</t>
  </si>
  <si>
    <t>INV-1674</t>
  </si>
  <si>
    <t>INV-1675</t>
  </si>
  <si>
    <t>INV-1676</t>
  </si>
  <si>
    <t>INV-1677</t>
  </si>
  <si>
    <t>INV-1678</t>
  </si>
  <si>
    <t>INV-1679</t>
  </si>
  <si>
    <t>INV-1680</t>
  </si>
  <si>
    <t>INV-1681</t>
  </si>
  <si>
    <t>INV-1682</t>
  </si>
  <si>
    <t>INV-1683</t>
  </si>
  <si>
    <t>INV-1684</t>
  </si>
  <si>
    <t>INV-1685</t>
  </si>
  <si>
    <t>INV-1686</t>
  </si>
  <si>
    <t>INV-1687</t>
  </si>
  <si>
    <t>INV-1688</t>
  </si>
  <si>
    <t>INV-1689</t>
  </si>
  <si>
    <t>INV-1690</t>
  </si>
  <si>
    <t>INV-1691</t>
  </si>
  <si>
    <t>INV-1692</t>
  </si>
  <si>
    <t>INV-1693</t>
  </si>
  <si>
    <t>INV-1694</t>
  </si>
  <si>
    <t>INV-1695</t>
  </si>
  <si>
    <t>INV-1696</t>
  </si>
  <si>
    <t>INV-1697</t>
  </si>
  <si>
    <t>INV-1698</t>
  </si>
  <si>
    <t>INV-1699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</si>
  <si>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</si>
  <si>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</si>
  <si>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</si>
  <si>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</si>
  <si>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</si>
  <si>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</si>
  <si>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</si>
  <si>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</si>
  <si>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</si>
  <si>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</si>
  <si>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</si>
  <si>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</si>
  <si>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</si>
  <si>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</si>
  <si>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</si>
  <si>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</si>
  <si>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</si>
  <si>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</si>
  <si>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INV-1718</t>
  </si>
  <si>
    <t>INV-1719</t>
  </si>
  <si>
    <t>INV-1720</t>
  </si>
  <si>
    <t>INV-1721</t>
  </si>
  <si>
    <t>INV-1722</t>
  </si>
  <si>
    <t>INV-1723</t>
  </si>
  <si>
    <t>INV-1724</t>
  </si>
  <si>
    <t>INV-1725</t>
  </si>
  <si>
    <t>INV-1726</t>
  </si>
  <si>
    <t>INV-1727</t>
  </si>
  <si>
    <t>INV-1728</t>
  </si>
  <si>
    <t>INV-1729</t>
  </si>
  <si>
    <t>INV-1730</t>
  </si>
  <si>
    <t>INV-1731</t>
  </si>
  <si>
    <t>INV-1732</t>
  </si>
  <si>
    <t>INV-1733</t>
  </si>
  <si>
    <t>INV-1734</t>
  </si>
  <si>
    <t>INV-1735</t>
  </si>
  <si>
    <t>INV-1736</t>
  </si>
  <si>
    <t>INV-1737</t>
  </si>
  <si>
    <t>INV-1738</t>
  </si>
  <si>
    <t>INV-1739</t>
  </si>
  <si>
    <t>INV-1740</t>
  </si>
  <si>
    <t>INV-1741</t>
  </si>
  <si>
    <t>INV-1742</t>
  </si>
  <si>
    <t>INV-1743</t>
  </si>
  <si>
    <t>INV-1744</t>
  </si>
  <si>
    <t>INV-1745</t>
  </si>
  <si>
    <t>INV-1746</t>
  </si>
  <si>
    <t>INV-1747</t>
  </si>
  <si>
    <t>INV-1748</t>
  </si>
  <si>
    <t>INV-1749</t>
  </si>
  <si>
    <t>INV-1750</t>
  </si>
  <si>
    <t>INV-1751</t>
  </si>
  <si>
    <t>INV-1752</t>
  </si>
  <si>
    <t>INV-1753</t>
  </si>
  <si>
    <t>INV-1754</t>
  </si>
  <si>
    <t>INV-1755</t>
  </si>
  <si>
    <t>INV-1756</t>
  </si>
  <si>
    <t>INV-1757</t>
  </si>
  <si>
    <t>INV-1758</t>
  </si>
  <si>
    <t>INV-1759</t>
  </si>
  <si>
    <t>INV-1760</t>
  </si>
  <si>
    <t>INV-1761</t>
  </si>
  <si>
    <t>INV-1762</t>
  </si>
  <si>
    <t>INV-1763</t>
  </si>
  <si>
    <t>INV-1764</t>
  </si>
  <si>
    <t>INV-1765</t>
  </si>
  <si>
    <t>INV-1766</t>
  </si>
  <si>
    <t>INV-1767</t>
  </si>
  <si>
    <t>INV-1768</t>
  </si>
  <si>
    <t>INV-1769</t>
  </si>
  <si>
    <t>INV-1770</t>
  </si>
  <si>
    <t>INV-1771</t>
  </si>
  <si>
    <t>INV-1772</t>
  </si>
  <si>
    <t>INV-1773</t>
  </si>
  <si>
    <t>INV-1774</t>
  </si>
  <si>
    <t>INV-1775</t>
  </si>
  <si>
    <t>INV-1776</t>
  </si>
  <si>
    <t>INV-1777</t>
  </si>
  <si>
    <t>INV-1778</t>
  </si>
  <si>
    <t>INV-1779</t>
  </si>
  <si>
    <t>INV-1780</t>
  </si>
  <si>
    <t>INV-1781</t>
  </si>
  <si>
    <t>INV-1782</t>
  </si>
  <si>
    <t>INV-1783</t>
  </si>
  <si>
    <t>INV-1784</t>
  </si>
  <si>
    <t>INV-1785</t>
  </si>
  <si>
    <t>INV-1786</t>
  </si>
  <si>
    <t>INV-1787</t>
  </si>
  <si>
    <t>INV-1788</t>
  </si>
  <si>
    <t>INV-1789</t>
  </si>
  <si>
    <t>INV-1790</t>
  </si>
  <si>
    <t>INV-1791</t>
  </si>
  <si>
    <t>INV-1792</t>
  </si>
  <si>
    <t>INV-1793</t>
  </si>
  <si>
    <t>INV-1794</t>
  </si>
  <si>
    <t>INV-1795</t>
  </si>
  <si>
    <t>INV-1796</t>
  </si>
  <si>
    <t>INV-1797</t>
  </si>
  <si>
    <t>INV-1798</t>
  </si>
  <si>
    <t>INV-1799</t>
  </si>
  <si>
    <t>INV-1800</t>
  </si>
  <si>
    <t>INV-1801</t>
  </si>
  <si>
    <t>INV-1802</t>
  </si>
  <si>
    <t>INV-1803</t>
  </si>
  <si>
    <t>INV-1804</t>
  </si>
  <si>
    <t>INV-1805</t>
  </si>
  <si>
    <t>INV-1806</t>
  </si>
  <si>
    <t>INV-1807</t>
  </si>
  <si>
    <t>INV-1808</t>
  </si>
  <si>
    <t>INV-1809</t>
  </si>
  <si>
    <t>INV-1810</t>
  </si>
  <si>
    <t>INV-1811</t>
  </si>
  <si>
    <t>INV-1812</t>
  </si>
  <si>
    <t>INV-1813</t>
  </si>
  <si>
    <t>INV-1814</t>
  </si>
  <si>
    <t>INV-1815</t>
  </si>
  <si>
    <t>INV-1816</t>
  </si>
  <si>
    <t>INV-1817</t>
  </si>
  <si>
    <t>INV-1818</t>
  </si>
  <si>
    <t>INV-1819</t>
  </si>
  <si>
    <t>INV-1820</t>
  </si>
  <si>
    <t>INV-1821</t>
  </si>
  <si>
    <t>INV-1822</t>
  </si>
  <si>
    <t>INV-1823</t>
  </si>
  <si>
    <t>INV-1824</t>
  </si>
  <si>
    <t>INV-1825</t>
  </si>
  <si>
    <t>INV-1826</t>
  </si>
  <si>
    <t>INV-1827</t>
  </si>
  <si>
    <t>INV-1828</t>
  </si>
  <si>
    <t>INV-1829</t>
  </si>
  <si>
    <t>INV-1830</t>
  </si>
  <si>
    <t>INV-1831</t>
  </si>
  <si>
    <t>INV-1832</t>
  </si>
  <si>
    <t>INV-1833</t>
  </si>
  <si>
    <t>INV-1834</t>
  </si>
  <si>
    <t>INV-1835</t>
  </si>
  <si>
    <t>INV-1836</t>
  </si>
  <si>
    <t>INV-1837</t>
  </si>
  <si>
    <t>INV-1838</t>
  </si>
  <si>
    <t>INV-1839</t>
  </si>
  <si>
    <t>INV-1840</t>
  </si>
  <si>
    <t>INV-1841</t>
  </si>
  <si>
    <t>INV-1842</t>
  </si>
  <si>
    <t>INV-1843</t>
  </si>
  <si>
    <t>INV-1844</t>
  </si>
  <si>
    <t>INV-1845</t>
  </si>
  <si>
    <t>INV-1846</t>
  </si>
  <si>
    <t>INV-1847</t>
  </si>
  <si>
    <t>INV-1848</t>
  </si>
  <si>
    <t>INV-1849</t>
  </si>
  <si>
    <t>INV-1850</t>
  </si>
  <si>
    <t>INV-1851</t>
  </si>
  <si>
    <t>INV-1852</t>
  </si>
  <si>
    <t>INV-1853</t>
  </si>
  <si>
    <t>INV-1854</t>
  </si>
  <si>
    <t>INV-1855</t>
  </si>
  <si>
    <t>INV-1856</t>
  </si>
  <si>
    <t>INV-1857</t>
  </si>
  <si>
    <t>INV-1858</t>
  </si>
  <si>
    <t>INV-1859</t>
  </si>
  <si>
    <t>INV-1860</t>
  </si>
  <si>
    <t>INV-1861</t>
  </si>
  <si>
    <t>INV-1862</t>
  </si>
  <si>
    <t>INV-1863</t>
  </si>
  <si>
    <t>INV-1864</t>
  </si>
  <si>
    <t>INV-1865</t>
  </si>
  <si>
    <t>INV-1866</t>
  </si>
  <si>
    <t>INV-1867</t>
  </si>
  <si>
    <t>INV-1868</t>
  </si>
  <si>
    <t>INV-1869</t>
  </si>
  <si>
    <t>INV-1870</t>
  </si>
  <si>
    <t>INV-1871</t>
  </si>
  <si>
    <t>INV-1872</t>
  </si>
  <si>
    <t>INV-1873</t>
  </si>
  <si>
    <t>INV-1874</t>
  </si>
  <si>
    <t>INV-1875</t>
  </si>
  <si>
    <t>INV-1876</t>
  </si>
  <si>
    <t>INV-1877</t>
  </si>
  <si>
    <t>INV-1878</t>
  </si>
  <si>
    <t>INV-1879</t>
  </si>
  <si>
    <t>INV-1880</t>
  </si>
  <si>
    <t>INV-1881</t>
  </si>
  <si>
    <t>INV-1882</t>
  </si>
  <si>
    <t>INV-1883</t>
  </si>
  <si>
    <t>INV-1884</t>
  </si>
  <si>
    <t>INV-1885</t>
  </si>
  <si>
    <t>INV-1886</t>
  </si>
  <si>
    <t>INV-1887</t>
  </si>
  <si>
    <t>INV-1888</t>
  </si>
  <si>
    <t>INV-1889</t>
  </si>
  <si>
    <t>INV-1890</t>
  </si>
  <si>
    <t>INV-1891</t>
  </si>
  <si>
    <t>INV-1892</t>
  </si>
  <si>
    <t>INV-1893</t>
  </si>
  <si>
    <t>INV-1894</t>
  </si>
  <si>
    <t>INV-1895</t>
  </si>
  <si>
    <t>INV-1896</t>
  </si>
  <si>
    <t>INV-1897</t>
  </si>
  <si>
    <t>INV-1898</t>
  </si>
  <si>
    <t>INV-1899</t>
  </si>
  <si>
    <t>INV-1900</t>
  </si>
  <si>
    <t>INV-1901</t>
  </si>
  <si>
    <t>INV-1902</t>
  </si>
  <si>
    <t>INV-1903</t>
  </si>
  <si>
    <t>INV-1904</t>
  </si>
  <si>
    <t>INV-1905</t>
  </si>
  <si>
    <t>INV-1906</t>
  </si>
  <si>
    <t>INV-1907</t>
  </si>
  <si>
    <t>INV-1908</t>
  </si>
  <si>
    <t>INV-1909</t>
  </si>
  <si>
    <t>INV-1910</t>
  </si>
  <si>
    <t>INV-1911</t>
  </si>
  <si>
    <t>INV-1912</t>
  </si>
  <si>
    <t>INV-1913</t>
  </si>
  <si>
    <t>INV-1914</t>
  </si>
  <si>
    <t>INV-1915</t>
  </si>
  <si>
    <t>INV-1916</t>
  </si>
  <si>
    <t>INV-1917</t>
  </si>
  <si>
    <t>INV-1918</t>
  </si>
  <si>
    <t>INV-1919</t>
  </si>
  <si>
    <t>INV-1920</t>
  </si>
  <si>
    <t>INV-1921</t>
  </si>
  <si>
    <t>INV-1922</t>
  </si>
  <si>
    <t>INV-1923</t>
  </si>
  <si>
    <t>INV-1924</t>
  </si>
  <si>
    <t>INV-1925</t>
  </si>
  <si>
    <t>INV-1926</t>
  </si>
  <si>
    <t>INV-1927</t>
  </si>
  <si>
    <t>INV-1928</t>
  </si>
  <si>
    <t>INV-1929</t>
  </si>
  <si>
    <t>INV-1930</t>
  </si>
  <si>
    <t>INV-1931</t>
  </si>
  <si>
    <t>INV-1932</t>
  </si>
  <si>
    <t>INV-1933</t>
  </si>
  <si>
    <t>INV-1934</t>
  </si>
  <si>
    <t>INV-1935</t>
  </si>
  <si>
    <t>INV-1936</t>
  </si>
  <si>
    <t>INV-1937</t>
  </si>
  <si>
    <t>INV-1938</t>
  </si>
  <si>
    <t>INV-1939</t>
  </si>
  <si>
    <t>INV-1940</t>
  </si>
  <si>
    <t>INV-1941</t>
  </si>
  <si>
    <t>INV-1942</t>
  </si>
  <si>
    <t>INV-1943</t>
  </si>
  <si>
    <t>INV-1944</t>
  </si>
  <si>
    <t>INV-1945</t>
  </si>
  <si>
    <t>INV-1946</t>
  </si>
  <si>
    <t>INV-1947</t>
  </si>
  <si>
    <t>INV-1948</t>
  </si>
  <si>
    <t>INV-1949</t>
  </si>
  <si>
    <t>INV-1950</t>
  </si>
  <si>
    <t>INV-1951</t>
  </si>
  <si>
    <t>INV-1952</t>
  </si>
  <si>
    <t>INV-1953</t>
  </si>
  <si>
    <t>INV-1954</t>
  </si>
  <si>
    <t>INV-1955</t>
  </si>
  <si>
    <t>INV-1956</t>
  </si>
  <si>
    <t>INV-1957</t>
  </si>
  <si>
    <t>INV-1958</t>
  </si>
  <si>
    <t>INV-1959</t>
  </si>
  <si>
    <t>INV-1960</t>
  </si>
  <si>
    <t>INV-1961</t>
  </si>
  <si>
    <t>INV-1962</t>
  </si>
  <si>
    <t>INV-1963</t>
  </si>
  <si>
    <t>INV-1964</t>
  </si>
  <si>
    <t>INV-1965</t>
  </si>
  <si>
    <t>INV-1966</t>
  </si>
  <si>
    <t>INV-1967</t>
  </si>
  <si>
    <t>INV-1968</t>
  </si>
  <si>
    <t>INV-1969</t>
  </si>
  <si>
    <t>INV-1970</t>
  </si>
  <si>
    <t>INV-1971</t>
  </si>
  <si>
    <t>INV-1972</t>
  </si>
  <si>
    <t>INV-1973</t>
  </si>
  <si>
    <t>INV-1974</t>
  </si>
  <si>
    <t>INV-1975</t>
  </si>
  <si>
    <t>INV-1976</t>
  </si>
  <si>
    <t>INV-1977</t>
  </si>
  <si>
    <t>INV-1978</t>
  </si>
  <si>
    <t>INV-1979</t>
  </si>
  <si>
    <t>INV-1980</t>
  </si>
  <si>
    <t>INV-1981</t>
  </si>
  <si>
    <t>INV-1982</t>
  </si>
  <si>
    <t>INV-1983</t>
  </si>
  <si>
    <t>INV-1984</t>
  </si>
  <si>
    <t>INV-1985</t>
  </si>
  <si>
    <t>INV-1986</t>
  </si>
  <si>
    <t>INV-1987</t>
  </si>
  <si>
    <t>INV-1988</t>
  </si>
  <si>
    <t>INV-1989</t>
  </si>
  <si>
    <t>INV-1990</t>
  </si>
  <si>
    <t>INV-1991</t>
  </si>
  <si>
    <t>INV-1992</t>
  </si>
  <si>
    <t>INV-1993</t>
  </si>
  <si>
    <t>INV-1994</t>
  </si>
  <si>
    <t>INV-1995</t>
  </si>
  <si>
    <t>INV-1996</t>
  </si>
  <si>
    <t>INV-1997</t>
  </si>
  <si>
    <t>INV-1998</t>
  </si>
  <si>
    <t>INV-1999</t>
  </si>
  <si>
    <t>INV-2000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</si>
</sst>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\ #,##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33333"/>
      <name val="Calibri"/>
    </font>
    <font>
      <b/>
      <sz val="16"/>
      <color rgb="FF000000"/>
      <name val="Calibri"/>
    </font>
    <font>
      <b/>
      <sz val="14"/>
      <name val="Calibri"/>
    </font>
    <font>
      <b/>
      <sz val="11"/>
      <color rgb="FF000000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1F0FF"/>
      </patternFill>
    </fill>
    <fill>
      <patternFill patternType="solid">
        <fgColor rgb="FFE2F5E9"/>
      </patternFill>
    </fill>
    <fill>
      <patternFill patternType="solid">
        <fgColor rgb="FFFFF8E5"/>
      </patternFill>
    </fill>
    <fill>
      <patternFill patternType="solid">
        <fgColor rgb="FFF3E8FF"/>
      </patternFill>
    </fill>
    <fill>
      <patternFill patternType="solid">
        <fgColor rgb="FFE0F7FA"/>
      </patternFill>
    </fill>
    <fill>
      <patternFill patternType="solid">
        <fgColor rgb="FFFCE4E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166" fontId="0" fillId="0" borderId="1" xfId="0" applyNumberFormat="1" applyBorder="1" applyAlignment="1">
      <alignment horizontal="center"/>
    </xf>
    <xf numFmtId="0" fontId="0" fillId="0" borderId="1" xfId="0" applyBorder="1"/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166" fontId="3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166" fontId="6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166" fontId="3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2" fillId="8" borderId="1" xfId="0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4" fontId="0" fillId="0" borderId="2" xfId="0" applyNumberFormat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5" fontId="0" fillId="0" borderId="11" xfId="0" applyNumberFormat="1" applyBorder="1"/>
    <xf numFmtId="0" fontId="0" fillId="0" borderId="11" xfId="0" applyBorder="1"/>
    <xf numFmtId="4" fontId="0" fillId="0" borderId="11" xfId="0" applyNumberFormat="1" applyBorder="1"/>
    <xf numFmtId="0" fontId="0" fillId="0" borderId="12" xfId="0" applyBorder="1"/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4" fontId="7" fillId="0" borderId="16" xfId="0" applyNumberFormat="1" applyFont="1" applyBorder="1"/>
    <xf numFmtId="0" fontId="7" fillId="0" borderId="17" xfId="0" applyFont="1" applyBorder="1"/>
    <xf numFmtId="0" fontId="0" fillId="0" borderId="18" xfId="0" applyBorder="1"/>
    <xf numFmtId="0" fontId="7" fillId="0" borderId="19" xfId="0" applyFont="1" applyBorder="1"/>
    <xf numFmtId="0" fontId="7" fillId="0" borderId="16" xfId="0" applyFont="1" applyBorder="1"/>
    <xf numFmtId="0" fontId="7" fillId="0" borderId="0" xfId="0" applyFont="1" applyBorder="1"/>
    <xf numFmtId="0" fontId="7" fillId="0" borderId="0" xfId="0" applyFont="1"/>
    <xf numFmtId="0" fontId="0" fillId="0" borderId="20" xfId="0" applyBorder="1"/>
    <xf numFmtId="0" fontId="0" fillId="0" borderId="21" xfId="0" applyBorder="1"/>
    <xf numFmtId="0" fontId="0" fillId="11" borderId="19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vs Expenses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Summary!$B$3:$B$8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Summary!$C$3:$C$8</c:f>
              <c:numCache>
                <c:formatCode>General</c:formatCode>
                <c:ptCount val="6"/>
                <c:pt idx="0">
                  <c:v>3354465.47</c:v>
                </c:pt>
                <c:pt idx="1">
                  <c:v>2432851.02</c:v>
                </c:pt>
                <c:pt idx="2">
                  <c:v>2490507.4699999993</c:v>
                </c:pt>
                <c:pt idx="3">
                  <c:v>2680684.19</c:v>
                </c:pt>
                <c:pt idx="4">
                  <c:v>2449121.19</c:v>
                </c:pt>
                <c:pt idx="5">
                  <c:v>2872328.9000000008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F-45C1-ABE0-B31C8A74E051}"/>
            </c:ext>
          </c:extLst>
        </c:ser>
        <c:ser>
          <c:idx val="1"/>
          <c:order val="1"/>
          <c:tx>
            <c:strRef>
              <c:f>Summary!$D$2</c:f>
              <c:strCache>
                <c:ptCount val="1"/>
                <c:pt idx="0">
                  <c:v>Expense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Summary!$B$3:$B$8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Summary!$D$3:$D$8</c:f>
              <c:numCache>
                <c:formatCode>General</c:formatCode>
                <c:ptCount val="6"/>
                <c:pt idx="0">
                  <c:v>1236861.3099999998</c:v>
                </c:pt>
                <c:pt idx="1">
                  <c:v>1391774.6199999994</c:v>
                </c:pt>
                <c:pt idx="2">
                  <c:v>1686020.1000000006</c:v>
                </c:pt>
                <c:pt idx="3">
                  <c:v>1432062.2000000004</c:v>
                </c:pt>
                <c:pt idx="4">
                  <c:v>1394173.6500000001</c:v>
                </c:pt>
                <c:pt idx="5">
                  <c:v>1327035.0599999996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F-45C1-ABE0-B31C8A74E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Expense Breakdown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Summary!$B$12:$B$16</c:f>
              <c:strCache>
                <c:ptCount val="5"/>
                <c:pt idx="0">
                  <c:v>Raw Material</c:v>
                </c:pt>
                <c:pt idx="1">
                  <c:v>Employee Cost</c:v>
                </c:pt>
                <c:pt idx="2">
                  <c:v>Utilities</c:v>
                </c:pt>
                <c:pt idx="3">
                  <c:v>Logistics</c:v>
                </c:pt>
                <c:pt idx="4">
                  <c:v>Other Expenses</c:v>
                </c:pt>
              </c:strCache>
            </c:strRef>
          </c:cat>
          <c:val>
            <c:numRef>
              <c:f>Summary!$C$12:$C$16</c:f>
              <c:numCache>
                <c:formatCode>General</c:formatCode>
                <c:ptCount val="5"/>
                <c:pt idx="0">
                  <c:v>2934728.7000000007</c:v>
                </c:pt>
                <c:pt idx="1">
                  <c:v>1811743.7899999996</c:v>
                </c:pt>
                <c:pt idx="2">
                  <c:v>1486970.370000001</c:v>
                </c:pt>
                <c:pt idx="3">
                  <c:v>855745.51000000013</c:v>
                </c:pt>
                <c:pt idx="4">
                  <c:v>1378738.57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A-4A81-A7CD-09864F9FD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Profit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Summary!$E$2</c:f>
              <c:strCache>
                <c:ptCount val="1"/>
                <c:pt idx="0">
                  <c:v>Net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Summary!$E$3:$E$8</c:f>
              <c:numCache>
                <c:formatCode>General</c:formatCode>
                <c:ptCount val="6"/>
                <c:pt idx="0">
                  <c:v>2117604.16</c:v>
                </c:pt>
                <c:pt idx="1">
                  <c:v>1041076.4000000006</c:v>
                </c:pt>
                <c:pt idx="2">
                  <c:v>804487.36999999871</c:v>
                </c:pt>
                <c:pt idx="3">
                  <c:v>1248621.9899999995</c:v>
                </c:pt>
                <c:pt idx="4">
                  <c:v>1054947.5399999998</c:v>
                </c:pt>
                <c:pt idx="5">
                  <c:v>1545293.8400000012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B-4363-948B-C5C145E18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Invoices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Summary!$B$19:$B$21</c:f>
              <c:strCache>
                <c:ptCount val="3"/>
                <c:pt idx="0">
                  <c:v>Paid</c:v>
                </c:pt>
                <c:pt idx="1">
                  <c:v>Pending</c:v>
                </c:pt>
                <c:pt idx="2">
                  <c:v>Overdue</c:v>
                </c:pt>
              </c:strCache>
            </c:strRef>
          </c:cat>
          <c:val>
            <c:numRef>
              <c:f>Summary!$C$19:$C$21</c:f>
              <c:numCache>
                <c:formatCode>General</c:formatCode>
                <c:ptCount val="3"/>
                <c:pt idx="0">
                  <c:v>652</c:v>
                </c:pt>
                <c:pt idx="1">
                  <c:v>256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4-4E5D-9984-FDE5084BA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5</xdr:row>
      <xdr:rowOff>38100</xdr:rowOff>
    </xdr:from>
    <xdr:ext cx="4439606" cy="243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99060</xdr:colOff>
      <xdr:row>5</xdr:row>
      <xdr:rowOff>38100</xdr:rowOff>
    </xdr:from>
    <xdr:ext cx="4244340" cy="24384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434339</xdr:colOff>
      <xdr:row>5</xdr:row>
      <xdr:rowOff>38100</xdr:rowOff>
    </xdr:from>
    <xdr:ext cx="4310147" cy="24384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121920</xdr:colOff>
      <xdr:row>20</xdr:row>
      <xdr:rowOff>220980</xdr:rowOff>
    </xdr:from>
    <xdr:ext cx="2186940" cy="14706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9"/>
  <sheetViews>
    <sheetView showGridLines="0" tabSelected="1" zoomScaleNormal="100" workbookViewId="0">
      <selection activeCell="X25" sqref="X25"/>
    </sheetView>
  </sheetViews>
  <sheetFormatPr defaultRowHeight="14.4" x14ac:dyDescent="0.3"/>
  <cols>
    <col min="1" max="1" width="3" customWidth="1"/>
    <col min="2" max="4" width="9.21875" customWidth="1"/>
    <col min="5" max="5" width="7" customWidth="1"/>
    <col min="6" max="8" width="9.21875" customWidth="1"/>
    <col min="9" max="9" width="7" customWidth="1"/>
    <col min="10" max="12" width="9.21875" customWidth="1"/>
    <col min="13" max="13" width="7" customWidth="1"/>
    <col min="14" max="16" width="9.21875" customWidth="1"/>
    <col min="17" max="17" width="7" customWidth="1"/>
    <col min="18" max="20" width="9.21875" customWidth="1"/>
    <col min="21" max="21" width="7" customWidth="1"/>
    <col min="22" max="24" width="9.21875" customWidth="1"/>
    <col min="25" max="25" width="7" customWidth="1"/>
  </cols>
  <sheetData>
    <row r="1" spans="2:24" ht="10.199999999999999" customHeight="1" x14ac:dyDescent="0.3"/>
    <row r="2" spans="2:24" x14ac:dyDescent="0.3">
      <c r="B2" s="24" t="s">
        <v>0</v>
      </c>
      <c r="C2" s="15"/>
      <c r="D2" s="15"/>
      <c r="F2" s="7" t="s">
        <v>1</v>
      </c>
      <c r="G2" s="8"/>
      <c r="H2" s="8"/>
      <c r="J2" s="18" t="s">
        <v>2</v>
      </c>
      <c r="K2" s="19"/>
      <c r="L2" s="19"/>
      <c r="N2" s="4" t="s">
        <v>3</v>
      </c>
      <c r="O2" s="5"/>
      <c r="P2" s="5"/>
      <c r="R2" s="20" t="s">
        <v>4</v>
      </c>
      <c r="S2" s="21"/>
      <c r="T2" s="21"/>
      <c r="V2" s="22" t="s">
        <v>5</v>
      </c>
      <c r="W2" s="10"/>
      <c r="X2" s="10"/>
    </row>
    <row r="3" spans="2:24" x14ac:dyDescent="0.3">
      <c r="B3" s="14">
        <f>Summary!C9</f>
        <v>16279958.239999998</v>
      </c>
      <c r="C3" s="15"/>
      <c r="D3" s="15"/>
      <c r="F3" s="16">
        <f>Summary!D9</f>
        <v>8467926.9399999995</v>
      </c>
      <c r="G3" s="8"/>
      <c r="H3" s="8"/>
      <c r="J3" s="25">
        <f>Summary!E9</f>
        <v>7812031.3000000007</v>
      </c>
      <c r="K3" s="19"/>
      <c r="L3" s="19"/>
      <c r="N3" s="17">
        <f>Summary!F9</f>
        <v>1000</v>
      </c>
      <c r="O3" s="5"/>
      <c r="P3" s="5"/>
      <c r="R3" s="23">
        <f>Summary!G9</f>
        <v>5731832.6899999995</v>
      </c>
      <c r="S3" s="21"/>
      <c r="T3" s="21"/>
      <c r="V3" s="9">
        <f>Summary!H9</f>
        <v>2839559.5300000003</v>
      </c>
      <c r="W3" s="10"/>
      <c r="X3" s="10"/>
    </row>
    <row r="4" spans="2:24" x14ac:dyDescent="0.3">
      <c r="B4" s="15"/>
      <c r="C4" s="15"/>
      <c r="D4" s="15"/>
      <c r="F4" s="8"/>
      <c r="G4" s="8"/>
      <c r="H4" s="8"/>
      <c r="J4" s="19"/>
      <c r="K4" s="19"/>
      <c r="L4" s="19"/>
      <c r="N4" s="5"/>
      <c r="O4" s="5"/>
      <c r="P4" s="5"/>
      <c r="R4" s="21"/>
      <c r="S4" s="21"/>
      <c r="T4" s="21"/>
      <c r="V4" s="10"/>
      <c r="W4" s="10"/>
      <c r="X4" s="10"/>
    </row>
    <row r="5" spans="2:24" ht="8.4" customHeight="1" x14ac:dyDescent="0.3"/>
    <row r="6" spans="2:24" ht="12.6" customHeight="1" x14ac:dyDescent="0.3"/>
    <row r="7" spans="2:24" ht="12.6" customHeight="1" x14ac:dyDescent="0.3"/>
    <row r="8" spans="2:24" ht="12.6" customHeight="1" x14ac:dyDescent="0.3"/>
    <row r="9" spans="2:24" ht="12.6" customHeight="1" x14ac:dyDescent="0.3"/>
    <row r="10" spans="2:24" ht="12.6" customHeight="1" x14ac:dyDescent="0.3"/>
    <row r="11" spans="2:24" ht="12.6" customHeight="1" x14ac:dyDescent="0.3"/>
    <row r="12" spans="2:24" ht="12.6" customHeight="1" x14ac:dyDescent="0.3"/>
    <row r="13" spans="2:24" ht="12.6" customHeight="1" x14ac:dyDescent="0.3"/>
    <row r="14" spans="2:24" ht="12.6" customHeight="1" x14ac:dyDescent="0.3"/>
    <row r="18" spans="2:15" ht="11.4" customHeight="1" x14ac:dyDescent="0.3"/>
    <row r="19" spans="2:15" ht="13.2" customHeight="1" x14ac:dyDescent="0.3"/>
    <row r="21" spans="2:15" ht="18" x14ac:dyDescent="0.35">
      <c r="B21" s="1" t="s">
        <v>6</v>
      </c>
    </row>
    <row r="22" spans="2:15" x14ac:dyDescent="0.3">
      <c r="B22" s="13" t="s">
        <v>7</v>
      </c>
      <c r="C22" s="3"/>
      <c r="D22" s="13" t="s">
        <v>8</v>
      </c>
      <c r="E22" s="3"/>
      <c r="F22" s="13" t="s">
        <v>9</v>
      </c>
      <c r="G22" s="3"/>
      <c r="H22" s="13" t="s">
        <v>10</v>
      </c>
      <c r="I22" s="3"/>
      <c r="J22" s="13" t="s">
        <v>11</v>
      </c>
      <c r="K22" s="3"/>
      <c r="L22" s="13" t="s">
        <v>12</v>
      </c>
      <c r="M22" s="3"/>
      <c r="N22" s="13" t="s">
        <v>13</v>
      </c>
      <c r="O22" s="3"/>
    </row>
    <row r="23" spans="2:15" x14ac:dyDescent="0.3">
      <c r="B23" s="6" t="str">
        <f>Summary!B3</f>
        <v>Jan</v>
      </c>
      <c r="C23" s="3"/>
      <c r="D23" s="2">
        <f>Summary!C3</f>
        <v>3354465.47</v>
      </c>
      <c r="E23" s="3"/>
      <c r="F23" s="2">
        <f>Summary!D3</f>
        <v>1236861.3099999998</v>
      </c>
      <c r="G23" s="3"/>
      <c r="H23" s="2">
        <f>Summary!E3</f>
        <v>2117604.16</v>
      </c>
      <c r="I23" s="3"/>
      <c r="J23" s="6">
        <f>Summary!F3</f>
        <v>171</v>
      </c>
      <c r="K23" s="3"/>
      <c r="L23" s="2">
        <f>Summary!G3</f>
        <v>1093087.18</v>
      </c>
      <c r="M23" s="3"/>
      <c r="N23" s="2">
        <f>Summary!H3</f>
        <v>439339.45999999996</v>
      </c>
      <c r="O23" s="3"/>
    </row>
    <row r="24" spans="2:15" x14ac:dyDescent="0.3">
      <c r="B24" s="6" t="str">
        <f>Summary!B4</f>
        <v>Feb</v>
      </c>
      <c r="C24" s="3"/>
      <c r="D24" s="2">
        <f>Summary!C4</f>
        <v>2432851.02</v>
      </c>
      <c r="E24" s="3"/>
      <c r="F24" s="2">
        <f>Summary!D4</f>
        <v>1391774.6199999994</v>
      </c>
      <c r="G24" s="3"/>
      <c r="H24" s="2">
        <f>Summary!E4</f>
        <v>1041076.4000000006</v>
      </c>
      <c r="I24" s="3"/>
      <c r="J24" s="6">
        <f>Summary!F4</f>
        <v>150</v>
      </c>
      <c r="K24" s="3"/>
      <c r="L24" s="2">
        <f>Summary!G4</f>
        <v>1099647.1200000001</v>
      </c>
      <c r="M24" s="3"/>
      <c r="N24" s="2">
        <f>Summary!H4</f>
        <v>477762.05000000005</v>
      </c>
      <c r="O24" s="3"/>
    </row>
    <row r="25" spans="2:15" x14ac:dyDescent="0.3">
      <c r="B25" s="6" t="str">
        <f>Summary!B5</f>
        <v>Mar</v>
      </c>
      <c r="C25" s="3"/>
      <c r="D25" s="2">
        <f>Summary!C5</f>
        <v>2490507.4699999993</v>
      </c>
      <c r="E25" s="3"/>
      <c r="F25" s="2">
        <f>Summary!D5</f>
        <v>1686020.1000000006</v>
      </c>
      <c r="G25" s="3"/>
      <c r="H25" s="2">
        <f>Summary!E5</f>
        <v>804487.36999999871</v>
      </c>
      <c r="I25" s="3"/>
      <c r="J25" s="6">
        <f>Summary!F5</f>
        <v>186</v>
      </c>
      <c r="K25" s="3"/>
      <c r="L25" s="2">
        <f>Summary!G5</f>
        <v>797709.58</v>
      </c>
      <c r="M25" s="3"/>
      <c r="N25" s="2">
        <f>Summary!H5</f>
        <v>535581.94999999995</v>
      </c>
      <c r="O25" s="3"/>
    </row>
    <row r="26" spans="2:15" x14ac:dyDescent="0.3">
      <c r="B26" s="6" t="str">
        <f>Summary!B6</f>
        <v>Apr</v>
      </c>
      <c r="C26" s="3"/>
      <c r="D26" s="2">
        <f>Summary!C6</f>
        <v>2680684.19</v>
      </c>
      <c r="E26" s="3"/>
      <c r="F26" s="2">
        <f>Summary!D6</f>
        <v>1432062.2000000004</v>
      </c>
      <c r="G26" s="3"/>
      <c r="H26" s="2">
        <f>Summary!E6</f>
        <v>1248621.9899999995</v>
      </c>
      <c r="I26" s="3"/>
      <c r="J26" s="6">
        <f>Summary!F6</f>
        <v>158</v>
      </c>
      <c r="K26" s="3"/>
      <c r="L26" s="2">
        <f>Summary!G6</f>
        <v>814908.83</v>
      </c>
      <c r="M26" s="3"/>
      <c r="N26" s="2">
        <f>Summary!H6</f>
        <v>522252.45</v>
      </c>
      <c r="O26" s="3"/>
    </row>
    <row r="27" spans="2:15" x14ac:dyDescent="0.3">
      <c r="B27" s="6" t="str">
        <f>Summary!B7</f>
        <v>May</v>
      </c>
      <c r="C27" s="3"/>
      <c r="D27" s="2">
        <f>Summary!C7</f>
        <v>2449121.19</v>
      </c>
      <c r="E27" s="3"/>
      <c r="F27" s="2">
        <f>Summary!D7</f>
        <v>1394173.6500000001</v>
      </c>
      <c r="G27" s="3"/>
      <c r="H27" s="2">
        <f>Summary!E7</f>
        <v>1054947.5399999998</v>
      </c>
      <c r="I27" s="3"/>
      <c r="J27" s="6">
        <f>Summary!F7</f>
        <v>167</v>
      </c>
      <c r="K27" s="3"/>
      <c r="L27" s="2">
        <f>Summary!G7</f>
        <v>583980.97</v>
      </c>
      <c r="M27" s="3"/>
      <c r="N27" s="2">
        <f>Summary!H7</f>
        <v>390102.61</v>
      </c>
      <c r="O27" s="3"/>
    </row>
    <row r="28" spans="2:15" x14ac:dyDescent="0.3">
      <c r="B28" s="6" t="str">
        <f>Summary!B8</f>
        <v>Jun</v>
      </c>
      <c r="C28" s="3"/>
      <c r="D28" s="2">
        <f>Summary!C8</f>
        <v>2872328.9000000008</v>
      </c>
      <c r="E28" s="3"/>
      <c r="F28" s="2">
        <f>Summary!D8</f>
        <v>1327035.0599999996</v>
      </c>
      <c r="G28" s="3"/>
      <c r="H28" s="2">
        <f>Summary!E8</f>
        <v>1545293.8400000012</v>
      </c>
      <c r="I28" s="3"/>
      <c r="J28" s="6">
        <f>Summary!F8</f>
        <v>168</v>
      </c>
      <c r="K28" s="3"/>
      <c r="L28" s="2">
        <f>Summary!G8</f>
        <v>1342499.01</v>
      </c>
      <c r="M28" s="3"/>
      <c r="N28" s="2">
        <f>Summary!H8</f>
        <v>474521.01</v>
      </c>
      <c r="O28" s="3"/>
    </row>
    <row r="29" spans="2:15" x14ac:dyDescent="0.3">
      <c r="B29" s="12" t="str">
        <f>Summary!B9</f>
        <v>Total</v>
      </c>
      <c r="C29" s="3"/>
      <c r="D29" s="11">
        <f>Summary!C9</f>
        <v>16279958.239999998</v>
      </c>
      <c r="E29" s="3"/>
      <c r="F29" s="11">
        <f>Summary!D9</f>
        <v>8467926.9399999995</v>
      </c>
      <c r="G29" s="3"/>
      <c r="H29" s="11">
        <f>Summary!E9</f>
        <v>7812031.3000000007</v>
      </c>
      <c r="I29" s="3"/>
      <c r="J29" s="12">
        <f>Summary!F9</f>
        <v>1000</v>
      </c>
      <c r="K29" s="3"/>
      <c r="L29" s="11">
        <f>Summary!G9</f>
        <v>5731832.6899999995</v>
      </c>
      <c r="M29" s="3"/>
      <c r="N29" s="11">
        <f>Summary!H9</f>
        <v>2839559.5300000003</v>
      </c>
      <c r="O29" s="3"/>
    </row>
  </sheetData>
  <mergeCells count="68">
    <mergeCell ref="V2:X2"/>
    <mergeCell ref="D24:E24"/>
    <mergeCell ref="B23:C23"/>
    <mergeCell ref="B29:C29"/>
    <mergeCell ref="N29:O29"/>
    <mergeCell ref="D23:E23"/>
    <mergeCell ref="B25:C25"/>
    <mergeCell ref="D29:E29"/>
    <mergeCell ref="H23:I23"/>
    <mergeCell ref="N23:O23"/>
    <mergeCell ref="D28:E28"/>
    <mergeCell ref="D22:E22"/>
    <mergeCell ref="H22:I22"/>
    <mergeCell ref="L26:M26"/>
    <mergeCell ref="J22:K22"/>
    <mergeCell ref="D25:E25"/>
    <mergeCell ref="R2:T2"/>
    <mergeCell ref="N28:O28"/>
    <mergeCell ref="F22:G22"/>
    <mergeCell ref="J24:K24"/>
    <mergeCell ref="B27:C27"/>
    <mergeCell ref="N27:O27"/>
    <mergeCell ref="L24:M24"/>
    <mergeCell ref="D27:E27"/>
    <mergeCell ref="F27:G27"/>
    <mergeCell ref="H27:I27"/>
    <mergeCell ref="F26:G26"/>
    <mergeCell ref="H26:I26"/>
    <mergeCell ref="R3:T4"/>
    <mergeCell ref="B2:D2"/>
    <mergeCell ref="J3:L4"/>
    <mergeCell ref="H25:I25"/>
    <mergeCell ref="F29:G29"/>
    <mergeCell ref="J23:K23"/>
    <mergeCell ref="L23:M23"/>
    <mergeCell ref="D26:E26"/>
    <mergeCell ref="B22:C22"/>
    <mergeCell ref="J26:K26"/>
    <mergeCell ref="L22:M22"/>
    <mergeCell ref="F25:G25"/>
    <mergeCell ref="J25:K25"/>
    <mergeCell ref="L29:M29"/>
    <mergeCell ref="L25:M25"/>
    <mergeCell ref="L28:M28"/>
    <mergeCell ref="B28:C28"/>
    <mergeCell ref="V3:X4"/>
    <mergeCell ref="L27:M27"/>
    <mergeCell ref="H29:I29"/>
    <mergeCell ref="H24:I24"/>
    <mergeCell ref="J29:K29"/>
    <mergeCell ref="N26:O26"/>
    <mergeCell ref="N22:O22"/>
    <mergeCell ref="F3:H4"/>
    <mergeCell ref="N3:P4"/>
    <mergeCell ref="N25:O25"/>
    <mergeCell ref="N2:P2"/>
    <mergeCell ref="J28:K28"/>
    <mergeCell ref="B24:C24"/>
    <mergeCell ref="F28:G28"/>
    <mergeCell ref="H28:I28"/>
    <mergeCell ref="F24:G24"/>
    <mergeCell ref="N24:O24"/>
    <mergeCell ref="F2:H2"/>
    <mergeCell ref="J27:K27"/>
    <mergeCell ref="B26:C26"/>
    <mergeCell ref="F23:G23"/>
    <mergeCell ref="B3:D4"/>
    <mergeCell ref="J2:L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1"/>
  <sheetViews>
    <sheetView workbookViewId="0">
      <selection activeCell="G21" sqref="G21"/>
    </sheetView>
  </sheetViews>
  <sheetFormatPr defaultRowHeight="14.4" x14ac:dyDescent="0.3"/>
  <cols>
    <col min="1" max="1" width="1.33203125" customWidth="1"/>
    <col min="2" max="2" width="15.5546875" bestFit="1" customWidth="1"/>
    <col min="3" max="3" width="12" bestFit="1" customWidth="1"/>
    <col min="4" max="5" width="11" bestFit="1" customWidth="1"/>
    <col min="6" max="6" width="7.6640625" bestFit="1" customWidth="1"/>
    <col min="7" max="8" width="11" bestFit="1" customWidth="1"/>
  </cols>
  <sheetData>
    <row r="1" spans="2:8" ht="6" customHeight="1" thickBot="1" x14ac:dyDescent="0.35"/>
    <row r="2" spans="2:8" s="50" customFormat="1" ht="15" thickBot="1" x14ac:dyDescent="0.35">
      <c r="B2" s="55" t="s">
        <v>7</v>
      </c>
      <c r="C2" s="56" t="s">
        <v>14</v>
      </c>
      <c r="D2" s="56" t="s">
        <v>15</v>
      </c>
      <c r="E2" s="56" t="s">
        <v>2</v>
      </c>
      <c r="F2" s="56" t="s">
        <v>11</v>
      </c>
      <c r="G2" s="56" t="s">
        <v>16</v>
      </c>
      <c r="H2" s="57" t="s">
        <v>17</v>
      </c>
    </row>
    <row r="3" spans="2:8" x14ac:dyDescent="0.3">
      <c r="B3" s="51" t="s">
        <v>18</v>
      </c>
      <c r="C3" s="46">
        <f>SUMIFS('Raw Data'!F:F, 'Raw Data'!C:C, B3, 'Raw Data'!D:D, "Revenue")</f>
        <v>3354465.47</v>
      </c>
      <c r="D3" s="46">
        <f>SUMIFS('Raw Data'!F:F, 'Raw Data'!C:C, B3, 'Raw Data'!D:D, "Expense")</f>
        <v>1236861.3099999998</v>
      </c>
      <c r="E3" s="46">
        <f t="shared" ref="E3:E8" si="0">C3-D3</f>
        <v>2117604.16</v>
      </c>
      <c r="F3" s="46">
        <f>COUNTIFS('Raw Data'!C:C, B3)</f>
        <v>171</v>
      </c>
      <c r="G3" s="46">
        <f>SUMIFS('Raw Data'!F:F, 'Raw Data'!C:C, B3, 'Raw Data'!D:D, "Revenue", 'Raw Data'!G:G, "Pending") + SUMIFS('Raw Data'!F:F, 'Raw Data'!C:C, B3, 'Raw Data'!D:D, "Revenue", 'Raw Data'!G:G, "Overdue")</f>
        <v>1093087.18</v>
      </c>
      <c r="H3" s="52">
        <f>SUMIFS('Raw Data'!F:F, 'Raw Data'!C:C, B3, 'Raw Data'!D:D, "Expense", 'Raw Data'!G:G, "Pending") + SUMIFS('Raw Data'!F:F, 'Raw Data'!C:C, B3, 'Raw Data'!D:D, "Expense", 'Raw Data'!G:G, "Overdue")</f>
        <v>439339.45999999996</v>
      </c>
    </row>
    <row r="4" spans="2:8" x14ac:dyDescent="0.3">
      <c r="B4" s="32" t="s">
        <v>19</v>
      </c>
      <c r="C4" s="26">
        <f>SUMIFS('Raw Data'!F:F, 'Raw Data'!C:C, B4, 'Raw Data'!D:D, "Revenue")</f>
        <v>2432851.02</v>
      </c>
      <c r="D4" s="26">
        <f>SUMIFS('Raw Data'!F:F, 'Raw Data'!C:C, B4, 'Raw Data'!D:D, "Expense")</f>
        <v>1391774.6199999994</v>
      </c>
      <c r="E4" s="26">
        <f t="shared" si="0"/>
        <v>1041076.4000000006</v>
      </c>
      <c r="F4" s="26">
        <f>COUNTIFS('Raw Data'!C:C, B4)</f>
        <v>150</v>
      </c>
      <c r="G4" s="26">
        <f>SUMIFS('Raw Data'!F:F, 'Raw Data'!C:C, B4, 'Raw Data'!D:D, "Revenue", 'Raw Data'!G:G, "Pending") + SUMIFS('Raw Data'!F:F, 'Raw Data'!C:C, B4, 'Raw Data'!D:D, "Revenue", 'Raw Data'!G:G, "Overdue")</f>
        <v>1099647.1200000001</v>
      </c>
      <c r="H4" s="33">
        <f>SUMIFS('Raw Data'!F:F, 'Raw Data'!C:C, B4, 'Raw Data'!D:D, "Expense", 'Raw Data'!G:G, "Pending") + SUMIFS('Raw Data'!F:F, 'Raw Data'!C:C, B4, 'Raw Data'!D:D, "Expense", 'Raw Data'!G:G, "Overdue")</f>
        <v>477762.05000000005</v>
      </c>
    </row>
    <row r="5" spans="2:8" x14ac:dyDescent="0.3">
      <c r="B5" s="32" t="s">
        <v>20</v>
      </c>
      <c r="C5" s="26">
        <f>SUMIFS('Raw Data'!F:F, 'Raw Data'!C:C, B5, 'Raw Data'!D:D, "Revenue")</f>
        <v>2490507.4699999993</v>
      </c>
      <c r="D5" s="26">
        <f>SUMIFS('Raw Data'!F:F, 'Raw Data'!C:C, B5, 'Raw Data'!D:D, "Expense")</f>
        <v>1686020.1000000006</v>
      </c>
      <c r="E5" s="26">
        <f t="shared" si="0"/>
        <v>804487.36999999871</v>
      </c>
      <c r="F5" s="26">
        <f>COUNTIFS('Raw Data'!C:C, B5)</f>
        <v>186</v>
      </c>
      <c r="G5" s="26">
        <f>SUMIFS('Raw Data'!F:F, 'Raw Data'!C:C, B5, 'Raw Data'!D:D, "Revenue", 'Raw Data'!G:G, "Pending") + SUMIFS('Raw Data'!F:F, 'Raw Data'!C:C, B5, 'Raw Data'!D:D, "Revenue", 'Raw Data'!G:G, "Overdue")</f>
        <v>797709.58</v>
      </c>
      <c r="H5" s="33">
        <f>SUMIFS('Raw Data'!F:F, 'Raw Data'!C:C, B5, 'Raw Data'!D:D, "Expense", 'Raw Data'!G:G, "Pending") + SUMIFS('Raw Data'!F:F, 'Raw Data'!C:C, B5, 'Raw Data'!D:D, "Expense", 'Raw Data'!G:G, "Overdue")</f>
        <v>535581.94999999995</v>
      </c>
    </row>
    <row r="6" spans="2:8" x14ac:dyDescent="0.3">
      <c r="B6" s="32" t="s">
        <v>21</v>
      </c>
      <c r="C6" s="26">
        <f>SUMIFS('Raw Data'!F:F, 'Raw Data'!C:C, B6, 'Raw Data'!D:D, "Revenue")</f>
        <v>2680684.19</v>
      </c>
      <c r="D6" s="26">
        <f>SUMIFS('Raw Data'!F:F, 'Raw Data'!C:C, B6, 'Raw Data'!D:D, "Expense")</f>
        <v>1432062.2000000004</v>
      </c>
      <c r="E6" s="26">
        <f t="shared" si="0"/>
        <v>1248621.9899999995</v>
      </c>
      <c r="F6" s="26">
        <f>COUNTIFS('Raw Data'!C:C, B6)</f>
        <v>158</v>
      </c>
      <c r="G6" s="26">
        <f>SUMIFS('Raw Data'!F:F, 'Raw Data'!C:C, B6, 'Raw Data'!D:D, "Revenue", 'Raw Data'!G:G, "Pending") + SUMIFS('Raw Data'!F:F, 'Raw Data'!C:C, B6, 'Raw Data'!D:D, "Revenue", 'Raw Data'!G:G, "Overdue")</f>
        <v>814908.83</v>
      </c>
      <c r="H6" s="33">
        <f>SUMIFS('Raw Data'!F:F, 'Raw Data'!C:C, B6, 'Raw Data'!D:D, "Expense", 'Raw Data'!G:G, "Pending") + SUMIFS('Raw Data'!F:F, 'Raw Data'!C:C, B6, 'Raw Data'!D:D, "Expense", 'Raw Data'!G:G, "Overdue")</f>
        <v>522252.45</v>
      </c>
    </row>
    <row r="7" spans="2:8" x14ac:dyDescent="0.3">
      <c r="B7" s="32" t="s">
        <v>22</v>
      </c>
      <c r="C7" s="26">
        <f>SUMIFS('Raw Data'!F:F, 'Raw Data'!C:C, B7, 'Raw Data'!D:D, "Revenue")</f>
        <v>2449121.19</v>
      </c>
      <c r="D7" s="26">
        <f>SUMIFS('Raw Data'!F:F, 'Raw Data'!C:C, B7, 'Raw Data'!D:D, "Expense")</f>
        <v>1394173.6500000001</v>
      </c>
      <c r="E7" s="26">
        <f t="shared" si="0"/>
        <v>1054947.5399999998</v>
      </c>
      <c r="F7" s="26">
        <f>COUNTIFS('Raw Data'!C:C, B7)</f>
        <v>167</v>
      </c>
      <c r="G7" s="26">
        <f>SUMIFS('Raw Data'!F:F, 'Raw Data'!C:C, B7, 'Raw Data'!D:D, "Revenue", 'Raw Data'!G:G, "Pending") + SUMIFS('Raw Data'!F:F, 'Raw Data'!C:C, B7, 'Raw Data'!D:D, "Revenue", 'Raw Data'!G:G, "Overdue")</f>
        <v>583980.97</v>
      </c>
      <c r="H7" s="33">
        <f>SUMIFS('Raw Data'!F:F, 'Raw Data'!C:C, B7, 'Raw Data'!D:D, "Expense", 'Raw Data'!G:G, "Pending") + SUMIFS('Raw Data'!F:F, 'Raw Data'!C:C, B7, 'Raw Data'!D:D, "Expense", 'Raw Data'!G:G, "Overdue")</f>
        <v>390102.61</v>
      </c>
    </row>
    <row r="8" spans="2:8" ht="15" thickBot="1" x14ac:dyDescent="0.35">
      <c r="B8" s="36" t="s">
        <v>23</v>
      </c>
      <c r="C8" s="38">
        <f>SUMIFS('Raw Data'!F:F, 'Raw Data'!C:C, B8, 'Raw Data'!D:D, "Revenue")</f>
        <v>2872328.9000000008</v>
      </c>
      <c r="D8" s="38">
        <f>SUMIFS('Raw Data'!F:F, 'Raw Data'!C:C, B8, 'Raw Data'!D:D, "Expense")</f>
        <v>1327035.0599999996</v>
      </c>
      <c r="E8" s="38">
        <f t="shared" si="0"/>
        <v>1545293.8400000012</v>
      </c>
      <c r="F8" s="38">
        <f>COUNTIFS('Raw Data'!C:C, B8)</f>
        <v>168</v>
      </c>
      <c r="G8" s="38">
        <f>SUMIFS('Raw Data'!F:F, 'Raw Data'!C:C, B8, 'Raw Data'!D:D, "Revenue", 'Raw Data'!G:G, "Pending") + SUMIFS('Raw Data'!F:F, 'Raw Data'!C:C, B8, 'Raw Data'!D:D, "Revenue", 'Raw Data'!G:G, "Overdue")</f>
        <v>1342499.01</v>
      </c>
      <c r="H8" s="40">
        <f>SUMIFS('Raw Data'!F:F, 'Raw Data'!C:C, B8, 'Raw Data'!D:D, "Expense", 'Raw Data'!G:G, "Pending") + SUMIFS('Raw Data'!F:F, 'Raw Data'!C:C, B8, 'Raw Data'!D:D, "Expense", 'Raw Data'!G:G, "Overdue")</f>
        <v>474521.01</v>
      </c>
    </row>
    <row r="9" spans="2:8" ht="15" thickBot="1" x14ac:dyDescent="0.35">
      <c r="B9" s="47" t="s">
        <v>24</v>
      </c>
      <c r="C9" s="48">
        <f t="shared" ref="C9:H9" si="1">SUM(C3:C8)</f>
        <v>16279958.239999998</v>
      </c>
      <c r="D9" s="48">
        <f t="shared" si="1"/>
        <v>8467926.9399999995</v>
      </c>
      <c r="E9" s="48">
        <f t="shared" si="1"/>
        <v>7812031.3000000007</v>
      </c>
      <c r="F9" s="48">
        <f t="shared" si="1"/>
        <v>1000</v>
      </c>
      <c r="G9" s="48">
        <f t="shared" si="1"/>
        <v>5731832.6899999995</v>
      </c>
      <c r="H9" s="45">
        <f t="shared" si="1"/>
        <v>2839559.5300000003</v>
      </c>
    </row>
    <row r="10" spans="2:8" ht="15" thickBot="1" x14ac:dyDescent="0.35">
      <c r="D10" s="49"/>
      <c r="E10" s="49"/>
      <c r="F10" s="49"/>
      <c r="G10" s="49"/>
      <c r="H10" s="49"/>
    </row>
    <row r="11" spans="2:8" ht="15" thickBot="1" x14ac:dyDescent="0.35">
      <c r="B11" s="53" t="s">
        <v>25</v>
      </c>
      <c r="C11" s="54" t="s">
        <v>26</v>
      </c>
    </row>
    <row r="12" spans="2:8" x14ac:dyDescent="0.3">
      <c r="B12" s="51" t="s">
        <v>27</v>
      </c>
      <c r="C12" s="52">
        <f>SUMIFS('Raw Data'!F:F, 'Raw Data'!E:E, B12)</f>
        <v>2934728.7000000007</v>
      </c>
    </row>
    <row r="13" spans="2:8" x14ac:dyDescent="0.3">
      <c r="B13" s="32" t="s">
        <v>28</v>
      </c>
      <c r="C13" s="33">
        <f>SUMIFS('Raw Data'!F:F, 'Raw Data'!E:E, B13)</f>
        <v>1811743.7899999996</v>
      </c>
    </row>
    <row r="14" spans="2:8" x14ac:dyDescent="0.3">
      <c r="B14" s="32" t="s">
        <v>29</v>
      </c>
      <c r="C14" s="33">
        <f>SUMIFS('Raw Data'!F:F, 'Raw Data'!E:E, B14)</f>
        <v>1486970.370000001</v>
      </c>
    </row>
    <row r="15" spans="2:8" x14ac:dyDescent="0.3">
      <c r="B15" s="32" t="s">
        <v>30</v>
      </c>
      <c r="C15" s="33">
        <f>SUMIFS('Raw Data'!F:F, 'Raw Data'!E:E, B15)</f>
        <v>855745.51000000013</v>
      </c>
    </row>
    <row r="16" spans="2:8" ht="15" thickBot="1" x14ac:dyDescent="0.35">
      <c r="B16" s="34" t="s">
        <v>31</v>
      </c>
      <c r="C16" s="35">
        <f>SUMIFS('Raw Data'!F:F, 'Raw Data'!E:E, B16)</f>
        <v>1378738.57</v>
      </c>
    </row>
    <row r="17" spans="2:3" ht="15" thickBot="1" x14ac:dyDescent="0.35"/>
    <row r="18" spans="2:3" ht="15" thickBot="1" x14ac:dyDescent="0.35">
      <c r="B18" s="53" t="s">
        <v>32</v>
      </c>
      <c r="C18" s="54" t="s">
        <v>33</v>
      </c>
    </row>
    <row r="19" spans="2:3" x14ac:dyDescent="0.3">
      <c r="B19" s="32" t="s">
        <v>34</v>
      </c>
      <c r="C19" s="33">
        <f>COUNTIFS('Raw Data'!G:G, B19)</f>
        <v>652</v>
      </c>
    </row>
    <row r="20" spans="2:3" x14ac:dyDescent="0.3">
      <c r="B20" s="32" t="s">
        <v>35</v>
      </c>
      <c r="C20" s="33">
        <f>COUNTIFS('Raw Data'!G:G, B20)</f>
        <v>256</v>
      </c>
    </row>
    <row r="21" spans="2:3" ht="15" thickBot="1" x14ac:dyDescent="0.35">
      <c r="B21" s="34" t="s">
        <v>36</v>
      </c>
      <c r="C21" s="35">
        <f>COUNTIFS('Raw Data'!G:G, B21)</f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2"/>
  <sheetViews>
    <sheetView topLeftCell="A922" workbookViewId="0">
      <selection activeCell="J1001" sqref="J1001"/>
    </sheetView>
  </sheetViews>
  <sheetFormatPr defaultRowHeight="14.4" x14ac:dyDescent="0.3"/>
  <cols>
    <col min="1" max="1" width="12" customWidth="1"/>
    <col min="2" max="2" width="15" customWidth="1"/>
    <col min="3" max="3" width="10" customWidth="1"/>
    <col min="4" max="4" width="12" customWidth="1"/>
    <col min="5" max="5" width="20" customWidth="1"/>
    <col min="6" max="7" width="15" customWidth="1"/>
  </cols>
  <sheetData>
    <row r="1" spans="1:7" x14ac:dyDescent="0.3">
      <c r="A1" s="29" t="s">
        <v>37</v>
      </c>
      <c r="B1" s="30" t="s">
        <v>38</v>
      </c>
      <c r="C1" s="30" t="s">
        <v>7</v>
      </c>
      <c r="D1" s="30" t="s">
        <v>39</v>
      </c>
      <c r="E1" s="30" t="s">
        <v>40</v>
      </c>
      <c r="F1" s="30" t="s">
        <v>26</v>
      </c>
      <c r="G1" s="31" t="s">
        <v>32</v>
      </c>
    </row>
    <row r="2" spans="1:7" x14ac:dyDescent="0.3">
      <c r="A2" s="32" t="s">
        <v>41</v>
      </c>
      <c r="B2" s="27">
        <v>45292</v>
      </c>
      <c r="C2" s="26" t="s">
        <v>18</v>
      </c>
      <c r="D2" s="26" t="s">
        <v>15</v>
      </c>
      <c r="E2" s="26" t="s">
        <v>27</v>
      </c>
      <c r="F2" s="28">
        <v>7170.62</v>
      </c>
      <c r="G2" s="33" t="s">
        <v>34</v>
      </c>
    </row>
    <row r="3" spans="1:7" x14ac:dyDescent="0.3">
      <c r="A3" s="32" t="s">
        <v>42</v>
      </c>
      <c r="B3" s="27">
        <v>45292</v>
      </c>
      <c r="C3" s="26" t="s">
        <v>18</v>
      </c>
      <c r="D3" s="26" t="s">
        <v>15</v>
      </c>
      <c r="E3" s="26" t="s">
        <v>28</v>
      </c>
      <c r="F3" s="28">
        <v>5426.76</v>
      </c>
      <c r="G3" s="33" t="s">
        <v>34</v>
      </c>
    </row>
    <row r="4" spans="1:7" x14ac:dyDescent="0.3">
      <c r="A4" s="32" t="s">
        <v>43</v>
      </c>
      <c r="B4" s="27">
        <v>45292</v>
      </c>
      <c r="C4" s="26" t="s">
        <v>18</v>
      </c>
      <c r="D4" s="26" t="s">
        <v>15</v>
      </c>
      <c r="E4" s="26" t="s">
        <v>31</v>
      </c>
      <c r="F4" s="28">
        <v>8109.55</v>
      </c>
      <c r="G4" s="33" t="s">
        <v>34</v>
      </c>
    </row>
    <row r="5" spans="1:7" x14ac:dyDescent="0.3">
      <c r="A5" s="32" t="s">
        <v>44</v>
      </c>
      <c r="B5" s="27">
        <v>45292</v>
      </c>
      <c r="C5" s="26" t="s">
        <v>18</v>
      </c>
      <c r="D5" s="26" t="s">
        <v>15</v>
      </c>
      <c r="E5" s="26" t="s">
        <v>29</v>
      </c>
      <c r="F5" s="28">
        <v>5271.43</v>
      </c>
      <c r="G5" s="33" t="s">
        <v>36</v>
      </c>
    </row>
    <row r="6" spans="1:7" x14ac:dyDescent="0.3">
      <c r="A6" s="32" t="s">
        <v>45</v>
      </c>
      <c r="B6" s="27">
        <v>45292</v>
      </c>
      <c r="C6" s="26" t="s">
        <v>18</v>
      </c>
      <c r="D6" s="26" t="s">
        <v>14</v>
      </c>
      <c r="E6" s="26" t="s">
        <v>46</v>
      </c>
      <c r="F6" s="28">
        <v>14174.66</v>
      </c>
      <c r="G6" s="33" t="s">
        <v>36</v>
      </c>
    </row>
    <row r="7" spans="1:7" x14ac:dyDescent="0.3">
      <c r="A7" s="32" t="s">
        <v>47</v>
      </c>
      <c r="B7" s="27">
        <v>45292</v>
      </c>
      <c r="C7" s="26" t="s">
        <v>18</v>
      </c>
      <c r="D7" s="26" t="s">
        <v>14</v>
      </c>
      <c r="E7" s="26" t="s">
        <v>46</v>
      </c>
      <c r="F7" s="28">
        <v>65484</v>
      </c>
      <c r="G7" s="33" t="s">
        <v>34</v>
      </c>
    </row>
    <row r="8" spans="1:7" x14ac:dyDescent="0.3">
      <c r="A8" s="32" t="s">
        <v>48</v>
      </c>
      <c r="B8" s="27">
        <v>45292</v>
      </c>
      <c r="C8" s="26" t="s">
        <v>18</v>
      </c>
      <c r="D8" s="26" t="s">
        <v>14</v>
      </c>
      <c r="E8" s="26" t="s">
        <v>46</v>
      </c>
      <c r="F8" s="28">
        <v>51653.08</v>
      </c>
      <c r="G8" s="33" t="s">
        <v>35</v>
      </c>
    </row>
    <row r="9" spans="1:7" x14ac:dyDescent="0.3">
      <c r="A9" s="32" t="s">
        <v>49</v>
      </c>
      <c r="B9" s="27">
        <v>45293</v>
      </c>
      <c r="C9" s="26" t="s">
        <v>18</v>
      </c>
      <c r="D9" s="26" t="s">
        <v>15</v>
      </c>
      <c r="E9" s="26" t="s">
        <v>30</v>
      </c>
      <c r="F9" s="28">
        <v>20957.53</v>
      </c>
      <c r="G9" s="33" t="s">
        <v>34</v>
      </c>
    </row>
    <row r="10" spans="1:7" x14ac:dyDescent="0.3">
      <c r="A10" s="32" t="s">
        <v>50</v>
      </c>
      <c r="B10" s="27">
        <v>45293</v>
      </c>
      <c r="C10" s="26" t="s">
        <v>18</v>
      </c>
      <c r="D10" s="26" t="s">
        <v>15</v>
      </c>
      <c r="E10" s="26" t="s">
        <v>29</v>
      </c>
      <c r="F10" s="28">
        <v>23187.43</v>
      </c>
      <c r="G10" s="33" t="s">
        <v>34</v>
      </c>
    </row>
    <row r="11" spans="1:7" x14ac:dyDescent="0.3">
      <c r="A11" s="32" t="s">
        <v>51</v>
      </c>
      <c r="B11" s="27">
        <v>45293</v>
      </c>
      <c r="C11" s="26" t="s">
        <v>18</v>
      </c>
      <c r="D11" s="26" t="s">
        <v>15</v>
      </c>
      <c r="E11" s="26" t="s">
        <v>29</v>
      </c>
      <c r="F11" s="28">
        <v>12100.53</v>
      </c>
      <c r="G11" s="33" t="s">
        <v>34</v>
      </c>
    </row>
    <row r="12" spans="1:7" x14ac:dyDescent="0.3">
      <c r="A12" s="32" t="s">
        <v>52</v>
      </c>
      <c r="B12" s="27">
        <v>45293</v>
      </c>
      <c r="C12" s="26" t="s">
        <v>18</v>
      </c>
      <c r="D12" s="26" t="s">
        <v>14</v>
      </c>
      <c r="E12" s="26" t="s">
        <v>46</v>
      </c>
      <c r="F12" s="28">
        <v>42808.86</v>
      </c>
      <c r="G12" s="33" t="s">
        <v>35</v>
      </c>
    </row>
    <row r="13" spans="1:7" x14ac:dyDescent="0.3">
      <c r="A13" s="32" t="s">
        <v>53</v>
      </c>
      <c r="B13" s="27">
        <v>45294</v>
      </c>
      <c r="C13" s="26" t="s">
        <v>18</v>
      </c>
      <c r="D13" s="26" t="s">
        <v>15</v>
      </c>
      <c r="E13" s="26" t="s">
        <v>30</v>
      </c>
      <c r="F13" s="28">
        <v>8994.1</v>
      </c>
      <c r="G13" s="33" t="s">
        <v>34</v>
      </c>
    </row>
    <row r="14" spans="1:7" x14ac:dyDescent="0.3">
      <c r="A14" s="32" t="s">
        <v>54</v>
      </c>
      <c r="B14" s="27">
        <v>45294</v>
      </c>
      <c r="C14" s="26" t="s">
        <v>18</v>
      </c>
      <c r="D14" s="26" t="s">
        <v>15</v>
      </c>
      <c r="E14" s="26" t="s">
        <v>27</v>
      </c>
      <c r="F14" s="28">
        <v>11257.7</v>
      </c>
      <c r="G14" s="33" t="s">
        <v>35</v>
      </c>
    </row>
    <row r="15" spans="1:7" x14ac:dyDescent="0.3">
      <c r="A15" s="32" t="s">
        <v>55</v>
      </c>
      <c r="B15" s="27">
        <v>45294</v>
      </c>
      <c r="C15" s="26" t="s">
        <v>18</v>
      </c>
      <c r="D15" s="26" t="s">
        <v>14</v>
      </c>
      <c r="E15" s="26" t="s">
        <v>46</v>
      </c>
      <c r="F15" s="28">
        <v>29057.23</v>
      </c>
      <c r="G15" s="33" t="s">
        <v>35</v>
      </c>
    </row>
    <row r="16" spans="1:7" x14ac:dyDescent="0.3">
      <c r="A16" s="32" t="s">
        <v>56</v>
      </c>
      <c r="B16" s="27">
        <v>45294</v>
      </c>
      <c r="C16" s="26" t="s">
        <v>18</v>
      </c>
      <c r="D16" s="26" t="s">
        <v>14</v>
      </c>
      <c r="E16" s="26" t="s">
        <v>46</v>
      </c>
      <c r="F16" s="28">
        <v>47798.71</v>
      </c>
      <c r="G16" s="33" t="s">
        <v>35</v>
      </c>
    </row>
    <row r="17" spans="1:7" x14ac:dyDescent="0.3">
      <c r="A17" s="32" t="s">
        <v>57</v>
      </c>
      <c r="B17" s="27">
        <v>45294</v>
      </c>
      <c r="C17" s="26" t="s">
        <v>18</v>
      </c>
      <c r="D17" s="26" t="s">
        <v>14</v>
      </c>
      <c r="E17" s="26" t="s">
        <v>46</v>
      </c>
      <c r="F17" s="28">
        <v>40643.120000000003</v>
      </c>
      <c r="G17" s="33" t="s">
        <v>34</v>
      </c>
    </row>
    <row r="18" spans="1:7" x14ac:dyDescent="0.3">
      <c r="A18" s="32" t="s">
        <v>58</v>
      </c>
      <c r="B18" s="27">
        <v>45295</v>
      </c>
      <c r="C18" s="26" t="s">
        <v>18</v>
      </c>
      <c r="D18" s="26" t="s">
        <v>14</v>
      </c>
      <c r="E18" s="26" t="s">
        <v>46</v>
      </c>
      <c r="F18" s="28">
        <v>51862.57</v>
      </c>
      <c r="G18" s="33" t="s">
        <v>34</v>
      </c>
    </row>
    <row r="19" spans="1:7" x14ac:dyDescent="0.3">
      <c r="A19" s="32" t="s">
        <v>59</v>
      </c>
      <c r="B19" s="27">
        <v>45295</v>
      </c>
      <c r="C19" s="26" t="s">
        <v>18</v>
      </c>
      <c r="D19" s="26" t="s">
        <v>15</v>
      </c>
      <c r="E19" s="26" t="s">
        <v>28</v>
      </c>
      <c r="F19" s="28">
        <v>22456.73</v>
      </c>
      <c r="G19" s="33" t="s">
        <v>34</v>
      </c>
    </row>
    <row r="20" spans="1:7" x14ac:dyDescent="0.3">
      <c r="A20" s="32" t="s">
        <v>60</v>
      </c>
      <c r="B20" s="27">
        <v>45295</v>
      </c>
      <c r="C20" s="26" t="s">
        <v>18</v>
      </c>
      <c r="D20" s="26" t="s">
        <v>15</v>
      </c>
      <c r="E20" s="26" t="s">
        <v>27</v>
      </c>
      <c r="F20" s="28">
        <v>18894.28</v>
      </c>
      <c r="G20" s="33" t="s">
        <v>34</v>
      </c>
    </row>
    <row r="21" spans="1:7" x14ac:dyDescent="0.3">
      <c r="A21" s="32" t="s">
        <v>61</v>
      </c>
      <c r="B21" s="27">
        <v>45295</v>
      </c>
      <c r="C21" s="26" t="s">
        <v>18</v>
      </c>
      <c r="D21" s="26" t="s">
        <v>14</v>
      </c>
      <c r="E21" s="26" t="s">
        <v>46</v>
      </c>
      <c r="F21" s="28">
        <v>52259.95</v>
      </c>
      <c r="G21" s="33" t="s">
        <v>34</v>
      </c>
    </row>
    <row r="22" spans="1:7" x14ac:dyDescent="0.3">
      <c r="A22" s="32" t="s">
        <v>62</v>
      </c>
      <c r="B22" s="27">
        <v>45296</v>
      </c>
      <c r="C22" s="26" t="s">
        <v>18</v>
      </c>
      <c r="D22" s="26" t="s">
        <v>15</v>
      </c>
      <c r="E22" s="26" t="s">
        <v>31</v>
      </c>
      <c r="F22" s="28">
        <v>2594.89</v>
      </c>
      <c r="G22" s="33" t="s">
        <v>36</v>
      </c>
    </row>
    <row r="23" spans="1:7" x14ac:dyDescent="0.3">
      <c r="A23" s="32" t="s">
        <v>63</v>
      </c>
      <c r="B23" s="27">
        <v>45296</v>
      </c>
      <c r="C23" s="26" t="s">
        <v>18</v>
      </c>
      <c r="D23" s="26" t="s">
        <v>14</v>
      </c>
      <c r="E23" s="26" t="s">
        <v>46</v>
      </c>
      <c r="F23" s="28">
        <v>26024.71</v>
      </c>
      <c r="G23" s="33" t="s">
        <v>34</v>
      </c>
    </row>
    <row r="24" spans="1:7" x14ac:dyDescent="0.3">
      <c r="A24" s="32" t="s">
        <v>64</v>
      </c>
      <c r="B24" s="27">
        <v>45296</v>
      </c>
      <c r="C24" s="26" t="s">
        <v>18</v>
      </c>
      <c r="D24" s="26" t="s">
        <v>14</v>
      </c>
      <c r="E24" s="26" t="s">
        <v>46</v>
      </c>
      <c r="F24" s="28">
        <v>57200.89</v>
      </c>
      <c r="G24" s="33" t="s">
        <v>34</v>
      </c>
    </row>
    <row r="25" spans="1:7" x14ac:dyDescent="0.3">
      <c r="A25" s="32" t="s">
        <v>65</v>
      </c>
      <c r="B25" s="27">
        <v>45297</v>
      </c>
      <c r="C25" s="26" t="s">
        <v>18</v>
      </c>
      <c r="D25" s="26" t="s">
        <v>15</v>
      </c>
      <c r="E25" s="26" t="s">
        <v>31</v>
      </c>
      <c r="F25" s="28">
        <v>21791.89</v>
      </c>
      <c r="G25" s="33" t="s">
        <v>34</v>
      </c>
    </row>
    <row r="26" spans="1:7" x14ac:dyDescent="0.3">
      <c r="A26" s="32" t="s">
        <v>66</v>
      </c>
      <c r="B26" s="27">
        <v>45297</v>
      </c>
      <c r="C26" s="26" t="s">
        <v>18</v>
      </c>
      <c r="D26" s="26" t="s">
        <v>15</v>
      </c>
      <c r="E26" s="26" t="s">
        <v>27</v>
      </c>
      <c r="F26" s="28">
        <v>15503.83</v>
      </c>
      <c r="G26" s="33" t="s">
        <v>34</v>
      </c>
    </row>
    <row r="27" spans="1:7" x14ac:dyDescent="0.3">
      <c r="A27" s="32" t="s">
        <v>67</v>
      </c>
      <c r="B27" s="27">
        <v>45297</v>
      </c>
      <c r="C27" s="26" t="s">
        <v>18</v>
      </c>
      <c r="D27" s="26" t="s">
        <v>15</v>
      </c>
      <c r="E27" s="26" t="s">
        <v>29</v>
      </c>
      <c r="F27" s="28">
        <v>2477.15</v>
      </c>
      <c r="G27" s="33" t="s">
        <v>34</v>
      </c>
    </row>
    <row r="28" spans="1:7" x14ac:dyDescent="0.3">
      <c r="A28" s="32" t="s">
        <v>68</v>
      </c>
      <c r="B28" s="27">
        <v>45298</v>
      </c>
      <c r="C28" s="26" t="s">
        <v>18</v>
      </c>
      <c r="D28" s="26" t="s">
        <v>14</v>
      </c>
      <c r="E28" s="26" t="s">
        <v>46</v>
      </c>
      <c r="F28" s="28">
        <v>63533.23</v>
      </c>
      <c r="G28" s="33" t="s">
        <v>34</v>
      </c>
    </row>
    <row r="29" spans="1:7" x14ac:dyDescent="0.3">
      <c r="A29" s="32" t="s">
        <v>69</v>
      </c>
      <c r="B29" s="27">
        <v>45298</v>
      </c>
      <c r="C29" s="26" t="s">
        <v>18</v>
      </c>
      <c r="D29" s="26" t="s">
        <v>15</v>
      </c>
      <c r="E29" s="26" t="s">
        <v>31</v>
      </c>
      <c r="F29" s="28">
        <v>20892.689999999999</v>
      </c>
      <c r="G29" s="33" t="s">
        <v>36</v>
      </c>
    </row>
    <row r="30" spans="1:7" x14ac:dyDescent="0.3">
      <c r="A30" s="32" t="s">
        <v>70</v>
      </c>
      <c r="B30" s="27">
        <v>45298</v>
      </c>
      <c r="C30" s="26" t="s">
        <v>18</v>
      </c>
      <c r="D30" s="26" t="s">
        <v>15</v>
      </c>
      <c r="E30" s="26" t="s">
        <v>27</v>
      </c>
      <c r="F30" s="28">
        <v>15253.68</v>
      </c>
      <c r="G30" s="33" t="s">
        <v>34</v>
      </c>
    </row>
    <row r="31" spans="1:7" x14ac:dyDescent="0.3">
      <c r="A31" s="32" t="s">
        <v>71</v>
      </c>
      <c r="B31" s="27">
        <v>45298</v>
      </c>
      <c r="C31" s="26" t="s">
        <v>18</v>
      </c>
      <c r="D31" s="26" t="s">
        <v>14</v>
      </c>
      <c r="E31" s="26" t="s">
        <v>46</v>
      </c>
      <c r="F31" s="28">
        <v>63417.63</v>
      </c>
      <c r="G31" s="33" t="s">
        <v>36</v>
      </c>
    </row>
    <row r="32" spans="1:7" x14ac:dyDescent="0.3">
      <c r="A32" s="32" t="s">
        <v>72</v>
      </c>
      <c r="B32" s="27">
        <v>45298</v>
      </c>
      <c r="C32" s="26" t="s">
        <v>18</v>
      </c>
      <c r="D32" s="26" t="s">
        <v>15</v>
      </c>
      <c r="E32" s="26" t="s">
        <v>28</v>
      </c>
      <c r="F32" s="28">
        <v>6029.39</v>
      </c>
      <c r="G32" s="33" t="s">
        <v>35</v>
      </c>
    </row>
    <row r="33" spans="1:7" x14ac:dyDescent="0.3">
      <c r="A33" s="32" t="s">
        <v>73</v>
      </c>
      <c r="B33" s="27">
        <v>45298</v>
      </c>
      <c r="C33" s="26" t="s">
        <v>18</v>
      </c>
      <c r="D33" s="26" t="s">
        <v>14</v>
      </c>
      <c r="E33" s="26" t="s">
        <v>46</v>
      </c>
      <c r="F33" s="28">
        <v>46327.47</v>
      </c>
      <c r="G33" s="33" t="s">
        <v>34</v>
      </c>
    </row>
    <row r="34" spans="1:7" x14ac:dyDescent="0.3">
      <c r="A34" s="32" t="s">
        <v>74</v>
      </c>
      <c r="B34" s="27">
        <v>45298</v>
      </c>
      <c r="C34" s="26" t="s">
        <v>18</v>
      </c>
      <c r="D34" s="26" t="s">
        <v>14</v>
      </c>
      <c r="E34" s="26" t="s">
        <v>46</v>
      </c>
      <c r="F34" s="28">
        <v>40956.06</v>
      </c>
      <c r="G34" s="33" t="s">
        <v>36</v>
      </c>
    </row>
    <row r="35" spans="1:7" x14ac:dyDescent="0.3">
      <c r="A35" s="32" t="s">
        <v>75</v>
      </c>
      <c r="B35" s="27">
        <v>45298</v>
      </c>
      <c r="C35" s="26" t="s">
        <v>18</v>
      </c>
      <c r="D35" s="26" t="s">
        <v>15</v>
      </c>
      <c r="E35" s="26" t="s">
        <v>31</v>
      </c>
      <c r="F35" s="28">
        <v>8397.6</v>
      </c>
      <c r="G35" s="33" t="s">
        <v>34</v>
      </c>
    </row>
    <row r="36" spans="1:7" x14ac:dyDescent="0.3">
      <c r="A36" s="32" t="s">
        <v>76</v>
      </c>
      <c r="B36" s="27">
        <v>45299</v>
      </c>
      <c r="C36" s="26" t="s">
        <v>18</v>
      </c>
      <c r="D36" s="26" t="s">
        <v>15</v>
      </c>
      <c r="E36" s="26" t="s">
        <v>27</v>
      </c>
      <c r="F36" s="28">
        <v>24929.75</v>
      </c>
      <c r="G36" s="33" t="s">
        <v>35</v>
      </c>
    </row>
    <row r="37" spans="1:7" x14ac:dyDescent="0.3">
      <c r="A37" s="32" t="s">
        <v>77</v>
      </c>
      <c r="B37" s="27">
        <v>45299</v>
      </c>
      <c r="C37" s="26" t="s">
        <v>18</v>
      </c>
      <c r="D37" s="26" t="s">
        <v>15</v>
      </c>
      <c r="E37" s="26" t="s">
        <v>29</v>
      </c>
      <c r="F37" s="28">
        <v>12025.35</v>
      </c>
      <c r="G37" s="33" t="s">
        <v>34</v>
      </c>
    </row>
    <row r="38" spans="1:7" x14ac:dyDescent="0.3">
      <c r="A38" s="32" t="s">
        <v>78</v>
      </c>
      <c r="B38" s="27">
        <v>45299</v>
      </c>
      <c r="C38" s="26" t="s">
        <v>18</v>
      </c>
      <c r="D38" s="26" t="s">
        <v>14</v>
      </c>
      <c r="E38" s="26" t="s">
        <v>46</v>
      </c>
      <c r="F38" s="28">
        <v>66997.149999999994</v>
      </c>
      <c r="G38" s="33" t="s">
        <v>35</v>
      </c>
    </row>
    <row r="39" spans="1:7" x14ac:dyDescent="0.3">
      <c r="A39" s="32" t="s">
        <v>79</v>
      </c>
      <c r="B39" s="27">
        <v>45299</v>
      </c>
      <c r="C39" s="26" t="s">
        <v>18</v>
      </c>
      <c r="D39" s="26" t="s">
        <v>14</v>
      </c>
      <c r="E39" s="26" t="s">
        <v>46</v>
      </c>
      <c r="F39" s="28">
        <v>77833.87</v>
      </c>
      <c r="G39" s="33" t="s">
        <v>35</v>
      </c>
    </row>
    <row r="40" spans="1:7" x14ac:dyDescent="0.3">
      <c r="A40" s="32" t="s">
        <v>80</v>
      </c>
      <c r="B40" s="27">
        <v>45299</v>
      </c>
      <c r="C40" s="26" t="s">
        <v>18</v>
      </c>
      <c r="D40" s="26" t="s">
        <v>15</v>
      </c>
      <c r="E40" s="26" t="s">
        <v>27</v>
      </c>
      <c r="F40" s="28">
        <v>12810.24</v>
      </c>
      <c r="G40" s="33" t="s">
        <v>35</v>
      </c>
    </row>
    <row r="41" spans="1:7" x14ac:dyDescent="0.3">
      <c r="A41" s="32" t="s">
        <v>81</v>
      </c>
      <c r="B41" s="27">
        <v>45300</v>
      </c>
      <c r="C41" s="26" t="s">
        <v>18</v>
      </c>
      <c r="D41" s="26" t="s">
        <v>15</v>
      </c>
      <c r="E41" s="26" t="s">
        <v>31</v>
      </c>
      <c r="F41" s="28">
        <v>11392.01</v>
      </c>
      <c r="G41" s="33" t="s">
        <v>35</v>
      </c>
    </row>
    <row r="42" spans="1:7" x14ac:dyDescent="0.3">
      <c r="A42" s="32" t="s">
        <v>82</v>
      </c>
      <c r="B42" s="27">
        <v>45300</v>
      </c>
      <c r="C42" s="26" t="s">
        <v>18</v>
      </c>
      <c r="D42" s="26" t="s">
        <v>14</v>
      </c>
      <c r="E42" s="26" t="s">
        <v>46</v>
      </c>
      <c r="F42" s="28">
        <v>32474.080000000002</v>
      </c>
      <c r="G42" s="33" t="s">
        <v>34</v>
      </c>
    </row>
    <row r="43" spans="1:7" x14ac:dyDescent="0.3">
      <c r="A43" s="32" t="s">
        <v>83</v>
      </c>
      <c r="B43" s="27">
        <v>45300</v>
      </c>
      <c r="C43" s="26" t="s">
        <v>18</v>
      </c>
      <c r="D43" s="26" t="s">
        <v>15</v>
      </c>
      <c r="E43" s="26" t="s">
        <v>31</v>
      </c>
      <c r="F43" s="28">
        <v>4405.8</v>
      </c>
      <c r="G43" s="33" t="s">
        <v>34</v>
      </c>
    </row>
    <row r="44" spans="1:7" x14ac:dyDescent="0.3">
      <c r="A44" s="32" t="s">
        <v>84</v>
      </c>
      <c r="B44" s="27">
        <v>45300</v>
      </c>
      <c r="C44" s="26" t="s">
        <v>18</v>
      </c>
      <c r="D44" s="26" t="s">
        <v>14</v>
      </c>
      <c r="E44" s="26" t="s">
        <v>46</v>
      </c>
      <c r="F44" s="28">
        <v>21257.74</v>
      </c>
      <c r="G44" s="33" t="s">
        <v>34</v>
      </c>
    </row>
    <row r="45" spans="1:7" x14ac:dyDescent="0.3">
      <c r="A45" s="32" t="s">
        <v>85</v>
      </c>
      <c r="B45" s="27">
        <v>45301</v>
      </c>
      <c r="C45" s="26" t="s">
        <v>18</v>
      </c>
      <c r="D45" s="26" t="s">
        <v>15</v>
      </c>
      <c r="E45" s="26" t="s">
        <v>31</v>
      </c>
      <c r="F45" s="28">
        <v>11467.84</v>
      </c>
      <c r="G45" s="33" t="s">
        <v>34</v>
      </c>
    </row>
    <row r="46" spans="1:7" x14ac:dyDescent="0.3">
      <c r="A46" s="32" t="s">
        <v>86</v>
      </c>
      <c r="B46" s="27">
        <v>45301</v>
      </c>
      <c r="C46" s="26" t="s">
        <v>18</v>
      </c>
      <c r="D46" s="26" t="s">
        <v>14</v>
      </c>
      <c r="E46" s="26" t="s">
        <v>46</v>
      </c>
      <c r="F46" s="28">
        <v>44682.83</v>
      </c>
      <c r="G46" s="33" t="s">
        <v>35</v>
      </c>
    </row>
    <row r="47" spans="1:7" x14ac:dyDescent="0.3">
      <c r="A47" s="32" t="s">
        <v>87</v>
      </c>
      <c r="B47" s="27">
        <v>45301</v>
      </c>
      <c r="C47" s="26" t="s">
        <v>18</v>
      </c>
      <c r="D47" s="26" t="s">
        <v>15</v>
      </c>
      <c r="E47" s="26" t="s">
        <v>28</v>
      </c>
      <c r="F47" s="28">
        <v>17239.419999999998</v>
      </c>
      <c r="G47" s="33" t="s">
        <v>34</v>
      </c>
    </row>
    <row r="48" spans="1:7" x14ac:dyDescent="0.3">
      <c r="A48" s="32" t="s">
        <v>88</v>
      </c>
      <c r="B48" s="27">
        <v>45302</v>
      </c>
      <c r="C48" s="26" t="s">
        <v>18</v>
      </c>
      <c r="D48" s="26" t="s">
        <v>14</v>
      </c>
      <c r="E48" s="26" t="s">
        <v>46</v>
      </c>
      <c r="F48" s="28">
        <v>38031.660000000003</v>
      </c>
      <c r="G48" s="33" t="s">
        <v>36</v>
      </c>
    </row>
    <row r="49" spans="1:7" x14ac:dyDescent="0.3">
      <c r="A49" s="32" t="s">
        <v>89</v>
      </c>
      <c r="B49" s="27">
        <v>45302</v>
      </c>
      <c r="C49" s="26" t="s">
        <v>18</v>
      </c>
      <c r="D49" s="26" t="s">
        <v>15</v>
      </c>
      <c r="E49" s="26" t="s">
        <v>31</v>
      </c>
      <c r="F49" s="28">
        <v>19491.490000000002</v>
      </c>
      <c r="G49" s="33" t="s">
        <v>34</v>
      </c>
    </row>
    <row r="50" spans="1:7" x14ac:dyDescent="0.3">
      <c r="A50" s="32" t="s">
        <v>90</v>
      </c>
      <c r="B50" s="27">
        <v>45302</v>
      </c>
      <c r="C50" s="26" t="s">
        <v>18</v>
      </c>
      <c r="D50" s="26" t="s">
        <v>15</v>
      </c>
      <c r="E50" s="26" t="s">
        <v>30</v>
      </c>
      <c r="F50" s="28">
        <v>2844.03</v>
      </c>
      <c r="G50" s="33" t="s">
        <v>35</v>
      </c>
    </row>
    <row r="51" spans="1:7" x14ac:dyDescent="0.3">
      <c r="A51" s="32" t="s">
        <v>91</v>
      </c>
      <c r="B51" s="27">
        <v>45302</v>
      </c>
      <c r="C51" s="26" t="s">
        <v>18</v>
      </c>
      <c r="D51" s="26" t="s">
        <v>14</v>
      </c>
      <c r="E51" s="26" t="s">
        <v>46</v>
      </c>
      <c r="F51" s="28">
        <v>16164.19</v>
      </c>
      <c r="G51" s="33" t="s">
        <v>34</v>
      </c>
    </row>
    <row r="52" spans="1:7" x14ac:dyDescent="0.3">
      <c r="A52" s="32" t="s">
        <v>92</v>
      </c>
      <c r="B52" s="27">
        <v>45302</v>
      </c>
      <c r="C52" s="26" t="s">
        <v>18</v>
      </c>
      <c r="D52" s="26" t="s">
        <v>15</v>
      </c>
      <c r="E52" s="26" t="s">
        <v>27</v>
      </c>
      <c r="F52" s="28">
        <v>7805.17</v>
      </c>
      <c r="G52" s="33" t="s">
        <v>35</v>
      </c>
    </row>
    <row r="53" spans="1:7" x14ac:dyDescent="0.3">
      <c r="A53" s="32" t="s">
        <v>93</v>
      </c>
      <c r="B53" s="27">
        <v>45303</v>
      </c>
      <c r="C53" s="26" t="s">
        <v>18</v>
      </c>
      <c r="D53" s="26" t="s">
        <v>15</v>
      </c>
      <c r="E53" s="26" t="s">
        <v>30</v>
      </c>
      <c r="F53" s="28">
        <v>4666.2</v>
      </c>
      <c r="G53" s="33" t="s">
        <v>36</v>
      </c>
    </row>
    <row r="54" spans="1:7" x14ac:dyDescent="0.3">
      <c r="A54" s="32" t="s">
        <v>94</v>
      </c>
      <c r="B54" s="27">
        <v>45303</v>
      </c>
      <c r="C54" s="26" t="s">
        <v>18</v>
      </c>
      <c r="D54" s="26" t="s">
        <v>15</v>
      </c>
      <c r="E54" s="26" t="s">
        <v>27</v>
      </c>
      <c r="F54" s="28">
        <v>19768.599999999999</v>
      </c>
      <c r="G54" s="33" t="s">
        <v>34</v>
      </c>
    </row>
    <row r="55" spans="1:7" x14ac:dyDescent="0.3">
      <c r="A55" s="32" t="s">
        <v>95</v>
      </c>
      <c r="B55" s="27">
        <v>45303</v>
      </c>
      <c r="C55" s="26" t="s">
        <v>18</v>
      </c>
      <c r="D55" s="26" t="s">
        <v>15</v>
      </c>
      <c r="E55" s="26" t="s">
        <v>28</v>
      </c>
      <c r="F55" s="28">
        <v>21892.94</v>
      </c>
      <c r="G55" s="33" t="s">
        <v>34</v>
      </c>
    </row>
    <row r="56" spans="1:7" x14ac:dyDescent="0.3">
      <c r="A56" s="32" t="s">
        <v>96</v>
      </c>
      <c r="B56" s="27">
        <v>45303</v>
      </c>
      <c r="C56" s="26" t="s">
        <v>18</v>
      </c>
      <c r="D56" s="26" t="s">
        <v>15</v>
      </c>
      <c r="E56" s="26" t="s">
        <v>27</v>
      </c>
      <c r="F56" s="28">
        <v>20973.33</v>
      </c>
      <c r="G56" s="33" t="s">
        <v>35</v>
      </c>
    </row>
    <row r="57" spans="1:7" x14ac:dyDescent="0.3">
      <c r="A57" s="32" t="s">
        <v>97</v>
      </c>
      <c r="B57" s="27">
        <v>45303</v>
      </c>
      <c r="C57" s="26" t="s">
        <v>18</v>
      </c>
      <c r="D57" s="26" t="s">
        <v>15</v>
      </c>
      <c r="E57" s="26" t="s">
        <v>27</v>
      </c>
      <c r="F57" s="28">
        <v>2026.47</v>
      </c>
      <c r="G57" s="33" t="s">
        <v>34</v>
      </c>
    </row>
    <row r="58" spans="1:7" x14ac:dyDescent="0.3">
      <c r="A58" s="32" t="s">
        <v>98</v>
      </c>
      <c r="B58" s="27">
        <v>45303</v>
      </c>
      <c r="C58" s="26" t="s">
        <v>18</v>
      </c>
      <c r="D58" s="26" t="s">
        <v>14</v>
      </c>
      <c r="E58" s="26" t="s">
        <v>46</v>
      </c>
      <c r="F58" s="28">
        <v>70855.72</v>
      </c>
      <c r="G58" s="33" t="s">
        <v>34</v>
      </c>
    </row>
    <row r="59" spans="1:7" x14ac:dyDescent="0.3">
      <c r="A59" s="32" t="s">
        <v>99</v>
      </c>
      <c r="B59" s="27">
        <v>45304</v>
      </c>
      <c r="C59" s="26" t="s">
        <v>18</v>
      </c>
      <c r="D59" s="26" t="s">
        <v>14</v>
      </c>
      <c r="E59" s="26" t="s">
        <v>46</v>
      </c>
      <c r="F59" s="28">
        <v>42338.34</v>
      </c>
      <c r="G59" s="33" t="s">
        <v>34</v>
      </c>
    </row>
    <row r="60" spans="1:7" x14ac:dyDescent="0.3">
      <c r="A60" s="32" t="s">
        <v>100</v>
      </c>
      <c r="B60" s="27">
        <v>45304</v>
      </c>
      <c r="C60" s="26" t="s">
        <v>18</v>
      </c>
      <c r="D60" s="26" t="s">
        <v>14</v>
      </c>
      <c r="E60" s="26" t="s">
        <v>46</v>
      </c>
      <c r="F60" s="28">
        <v>13794.29</v>
      </c>
      <c r="G60" s="33" t="s">
        <v>34</v>
      </c>
    </row>
    <row r="61" spans="1:7" x14ac:dyDescent="0.3">
      <c r="A61" s="32" t="s">
        <v>101</v>
      </c>
      <c r="B61" s="27">
        <v>45304</v>
      </c>
      <c r="C61" s="26" t="s">
        <v>18</v>
      </c>
      <c r="D61" s="26" t="s">
        <v>14</v>
      </c>
      <c r="E61" s="26" t="s">
        <v>46</v>
      </c>
      <c r="F61" s="28">
        <v>46290.76</v>
      </c>
      <c r="G61" s="33" t="s">
        <v>34</v>
      </c>
    </row>
    <row r="62" spans="1:7" x14ac:dyDescent="0.3">
      <c r="A62" s="32" t="s">
        <v>102</v>
      </c>
      <c r="B62" s="27">
        <v>45304</v>
      </c>
      <c r="C62" s="26" t="s">
        <v>18</v>
      </c>
      <c r="D62" s="26" t="s">
        <v>15</v>
      </c>
      <c r="E62" s="26" t="s">
        <v>27</v>
      </c>
      <c r="F62" s="28">
        <v>16320.58</v>
      </c>
      <c r="G62" s="33" t="s">
        <v>34</v>
      </c>
    </row>
    <row r="63" spans="1:7" x14ac:dyDescent="0.3">
      <c r="A63" s="32" t="s">
        <v>103</v>
      </c>
      <c r="B63" s="27">
        <v>45304</v>
      </c>
      <c r="C63" s="26" t="s">
        <v>18</v>
      </c>
      <c r="D63" s="26" t="s">
        <v>14</v>
      </c>
      <c r="E63" s="26" t="s">
        <v>46</v>
      </c>
      <c r="F63" s="28">
        <v>44894.52</v>
      </c>
      <c r="G63" s="33" t="s">
        <v>34</v>
      </c>
    </row>
    <row r="64" spans="1:7" x14ac:dyDescent="0.3">
      <c r="A64" s="32" t="s">
        <v>104</v>
      </c>
      <c r="B64" s="27">
        <v>45305</v>
      </c>
      <c r="C64" s="26" t="s">
        <v>18</v>
      </c>
      <c r="D64" s="26" t="s">
        <v>15</v>
      </c>
      <c r="E64" s="26" t="s">
        <v>29</v>
      </c>
      <c r="F64" s="28">
        <v>12166.94</v>
      </c>
      <c r="G64" s="33" t="s">
        <v>34</v>
      </c>
    </row>
    <row r="65" spans="1:7" x14ac:dyDescent="0.3">
      <c r="A65" s="32" t="s">
        <v>105</v>
      </c>
      <c r="B65" s="27">
        <v>45305</v>
      </c>
      <c r="C65" s="26" t="s">
        <v>18</v>
      </c>
      <c r="D65" s="26" t="s">
        <v>15</v>
      </c>
      <c r="E65" s="26" t="s">
        <v>27</v>
      </c>
      <c r="F65" s="28">
        <v>3187.07</v>
      </c>
      <c r="G65" s="33" t="s">
        <v>36</v>
      </c>
    </row>
    <row r="66" spans="1:7" x14ac:dyDescent="0.3">
      <c r="A66" s="32" t="s">
        <v>106</v>
      </c>
      <c r="B66" s="27">
        <v>45305</v>
      </c>
      <c r="C66" s="26" t="s">
        <v>18</v>
      </c>
      <c r="D66" s="26" t="s">
        <v>14</v>
      </c>
      <c r="E66" s="26" t="s">
        <v>46</v>
      </c>
      <c r="F66" s="28">
        <v>28693.94</v>
      </c>
      <c r="G66" s="33" t="s">
        <v>34</v>
      </c>
    </row>
    <row r="67" spans="1:7" x14ac:dyDescent="0.3">
      <c r="A67" s="32" t="s">
        <v>107</v>
      </c>
      <c r="B67" s="27">
        <v>45305</v>
      </c>
      <c r="C67" s="26" t="s">
        <v>18</v>
      </c>
      <c r="D67" s="26" t="s">
        <v>15</v>
      </c>
      <c r="E67" s="26" t="s">
        <v>29</v>
      </c>
      <c r="F67" s="28">
        <v>5013.3</v>
      </c>
      <c r="G67" s="33" t="s">
        <v>36</v>
      </c>
    </row>
    <row r="68" spans="1:7" x14ac:dyDescent="0.3">
      <c r="A68" s="32" t="s">
        <v>108</v>
      </c>
      <c r="B68" s="27">
        <v>45305</v>
      </c>
      <c r="C68" s="26" t="s">
        <v>18</v>
      </c>
      <c r="D68" s="26" t="s">
        <v>14</v>
      </c>
      <c r="E68" s="26" t="s">
        <v>46</v>
      </c>
      <c r="F68" s="28">
        <v>30162.04</v>
      </c>
      <c r="G68" s="33" t="s">
        <v>34</v>
      </c>
    </row>
    <row r="69" spans="1:7" x14ac:dyDescent="0.3">
      <c r="A69" s="32" t="s">
        <v>109</v>
      </c>
      <c r="B69" s="27">
        <v>45305</v>
      </c>
      <c r="C69" s="26" t="s">
        <v>18</v>
      </c>
      <c r="D69" s="26" t="s">
        <v>15</v>
      </c>
      <c r="E69" s="26" t="s">
        <v>27</v>
      </c>
      <c r="F69" s="28">
        <v>22259.47</v>
      </c>
      <c r="G69" s="33" t="s">
        <v>34</v>
      </c>
    </row>
    <row r="70" spans="1:7" x14ac:dyDescent="0.3">
      <c r="A70" s="32" t="s">
        <v>110</v>
      </c>
      <c r="B70" s="27">
        <v>45306</v>
      </c>
      <c r="C70" s="26" t="s">
        <v>18</v>
      </c>
      <c r="D70" s="26" t="s">
        <v>14</v>
      </c>
      <c r="E70" s="26" t="s">
        <v>46</v>
      </c>
      <c r="F70" s="28">
        <v>43929.83</v>
      </c>
      <c r="G70" s="33" t="s">
        <v>34</v>
      </c>
    </row>
    <row r="71" spans="1:7" x14ac:dyDescent="0.3">
      <c r="A71" s="32" t="s">
        <v>111</v>
      </c>
      <c r="B71" s="27">
        <v>45306</v>
      </c>
      <c r="C71" s="26" t="s">
        <v>18</v>
      </c>
      <c r="D71" s="26" t="s">
        <v>15</v>
      </c>
      <c r="E71" s="26" t="s">
        <v>27</v>
      </c>
      <c r="F71" s="28">
        <v>2664</v>
      </c>
      <c r="G71" s="33" t="s">
        <v>34</v>
      </c>
    </row>
    <row r="72" spans="1:7" x14ac:dyDescent="0.3">
      <c r="A72" s="32" t="s">
        <v>112</v>
      </c>
      <c r="B72" s="27">
        <v>45306</v>
      </c>
      <c r="C72" s="26" t="s">
        <v>18</v>
      </c>
      <c r="D72" s="26" t="s">
        <v>15</v>
      </c>
      <c r="E72" s="26" t="s">
        <v>28</v>
      </c>
      <c r="F72" s="28">
        <v>16490.509999999998</v>
      </c>
      <c r="G72" s="33" t="s">
        <v>34</v>
      </c>
    </row>
    <row r="73" spans="1:7" x14ac:dyDescent="0.3">
      <c r="A73" s="32" t="s">
        <v>113</v>
      </c>
      <c r="B73" s="27">
        <v>45306</v>
      </c>
      <c r="C73" s="26" t="s">
        <v>18</v>
      </c>
      <c r="D73" s="26" t="s">
        <v>14</v>
      </c>
      <c r="E73" s="26" t="s">
        <v>46</v>
      </c>
      <c r="F73" s="28">
        <v>65951.960000000006</v>
      </c>
      <c r="G73" s="33" t="s">
        <v>34</v>
      </c>
    </row>
    <row r="74" spans="1:7" x14ac:dyDescent="0.3">
      <c r="A74" s="32" t="s">
        <v>114</v>
      </c>
      <c r="B74" s="27">
        <v>45306</v>
      </c>
      <c r="C74" s="26" t="s">
        <v>18</v>
      </c>
      <c r="D74" s="26" t="s">
        <v>14</v>
      </c>
      <c r="E74" s="26" t="s">
        <v>46</v>
      </c>
      <c r="F74" s="28">
        <v>59684.800000000003</v>
      </c>
      <c r="G74" s="33" t="s">
        <v>34</v>
      </c>
    </row>
    <row r="75" spans="1:7" x14ac:dyDescent="0.3">
      <c r="A75" s="32" t="s">
        <v>115</v>
      </c>
      <c r="B75" s="27">
        <v>45307</v>
      </c>
      <c r="C75" s="26" t="s">
        <v>18</v>
      </c>
      <c r="D75" s="26" t="s">
        <v>15</v>
      </c>
      <c r="E75" s="26" t="s">
        <v>30</v>
      </c>
      <c r="F75" s="28">
        <v>9147.25</v>
      </c>
      <c r="G75" s="33" t="s">
        <v>34</v>
      </c>
    </row>
    <row r="76" spans="1:7" x14ac:dyDescent="0.3">
      <c r="A76" s="32" t="s">
        <v>116</v>
      </c>
      <c r="B76" s="27">
        <v>45307</v>
      </c>
      <c r="C76" s="26" t="s">
        <v>18</v>
      </c>
      <c r="D76" s="26" t="s">
        <v>15</v>
      </c>
      <c r="E76" s="26" t="s">
        <v>27</v>
      </c>
      <c r="F76" s="28">
        <v>2314.5100000000002</v>
      </c>
      <c r="G76" s="33" t="s">
        <v>35</v>
      </c>
    </row>
    <row r="77" spans="1:7" x14ac:dyDescent="0.3">
      <c r="A77" s="32" t="s">
        <v>117</v>
      </c>
      <c r="B77" s="27">
        <v>45307</v>
      </c>
      <c r="C77" s="26" t="s">
        <v>18</v>
      </c>
      <c r="D77" s="26" t="s">
        <v>15</v>
      </c>
      <c r="E77" s="26" t="s">
        <v>29</v>
      </c>
      <c r="F77" s="28">
        <v>11383.79</v>
      </c>
      <c r="G77" s="33" t="s">
        <v>34</v>
      </c>
    </row>
    <row r="78" spans="1:7" x14ac:dyDescent="0.3">
      <c r="A78" s="32" t="s">
        <v>118</v>
      </c>
      <c r="B78" s="27">
        <v>45307</v>
      </c>
      <c r="C78" s="26" t="s">
        <v>18</v>
      </c>
      <c r="D78" s="26" t="s">
        <v>15</v>
      </c>
      <c r="E78" s="26" t="s">
        <v>31</v>
      </c>
      <c r="F78" s="28">
        <v>7168.12</v>
      </c>
      <c r="G78" s="33" t="s">
        <v>34</v>
      </c>
    </row>
    <row r="79" spans="1:7" x14ac:dyDescent="0.3">
      <c r="A79" s="32" t="s">
        <v>119</v>
      </c>
      <c r="B79" s="27">
        <v>45307</v>
      </c>
      <c r="C79" s="26" t="s">
        <v>18</v>
      </c>
      <c r="D79" s="26" t="s">
        <v>14</v>
      </c>
      <c r="E79" s="26" t="s">
        <v>46</v>
      </c>
      <c r="F79" s="28">
        <v>68898.399999999994</v>
      </c>
      <c r="G79" s="33" t="s">
        <v>35</v>
      </c>
    </row>
    <row r="80" spans="1:7" x14ac:dyDescent="0.3">
      <c r="A80" s="32" t="s">
        <v>120</v>
      </c>
      <c r="B80" s="27">
        <v>45307</v>
      </c>
      <c r="C80" s="26" t="s">
        <v>18</v>
      </c>
      <c r="D80" s="26" t="s">
        <v>15</v>
      </c>
      <c r="E80" s="26" t="s">
        <v>29</v>
      </c>
      <c r="F80" s="28">
        <v>4609.6099999999997</v>
      </c>
      <c r="G80" s="33" t="s">
        <v>34</v>
      </c>
    </row>
    <row r="81" spans="1:7" x14ac:dyDescent="0.3">
      <c r="A81" s="32" t="s">
        <v>121</v>
      </c>
      <c r="B81" s="27">
        <v>45308</v>
      </c>
      <c r="C81" s="26" t="s">
        <v>18</v>
      </c>
      <c r="D81" s="26" t="s">
        <v>14</v>
      </c>
      <c r="E81" s="26" t="s">
        <v>46</v>
      </c>
      <c r="F81" s="28">
        <v>76294.25</v>
      </c>
      <c r="G81" s="33" t="s">
        <v>34</v>
      </c>
    </row>
    <row r="82" spans="1:7" x14ac:dyDescent="0.3">
      <c r="A82" s="32" t="s">
        <v>122</v>
      </c>
      <c r="B82" s="27">
        <v>45308</v>
      </c>
      <c r="C82" s="26" t="s">
        <v>18</v>
      </c>
      <c r="D82" s="26" t="s">
        <v>15</v>
      </c>
      <c r="E82" s="26" t="s">
        <v>27</v>
      </c>
      <c r="F82" s="28">
        <v>16897.32</v>
      </c>
      <c r="G82" s="33" t="s">
        <v>36</v>
      </c>
    </row>
    <row r="83" spans="1:7" x14ac:dyDescent="0.3">
      <c r="A83" s="32" t="s">
        <v>123</v>
      </c>
      <c r="B83" s="27">
        <v>45308</v>
      </c>
      <c r="C83" s="26" t="s">
        <v>18</v>
      </c>
      <c r="D83" s="26" t="s">
        <v>15</v>
      </c>
      <c r="E83" s="26" t="s">
        <v>27</v>
      </c>
      <c r="F83" s="28">
        <v>5541.34</v>
      </c>
      <c r="G83" s="33" t="s">
        <v>34</v>
      </c>
    </row>
    <row r="84" spans="1:7" x14ac:dyDescent="0.3">
      <c r="A84" s="32" t="s">
        <v>124</v>
      </c>
      <c r="B84" s="27">
        <v>45308</v>
      </c>
      <c r="C84" s="26" t="s">
        <v>18</v>
      </c>
      <c r="D84" s="26" t="s">
        <v>14</v>
      </c>
      <c r="E84" s="26" t="s">
        <v>46</v>
      </c>
      <c r="F84" s="28">
        <v>75285.710000000006</v>
      </c>
      <c r="G84" s="33" t="s">
        <v>35</v>
      </c>
    </row>
    <row r="85" spans="1:7" x14ac:dyDescent="0.3">
      <c r="A85" s="32" t="s">
        <v>125</v>
      </c>
      <c r="B85" s="27">
        <v>45308</v>
      </c>
      <c r="C85" s="26" t="s">
        <v>18</v>
      </c>
      <c r="D85" s="26" t="s">
        <v>14</v>
      </c>
      <c r="E85" s="26" t="s">
        <v>46</v>
      </c>
      <c r="F85" s="28">
        <v>30430.31</v>
      </c>
      <c r="G85" s="33" t="s">
        <v>36</v>
      </c>
    </row>
    <row r="86" spans="1:7" x14ac:dyDescent="0.3">
      <c r="A86" s="32" t="s">
        <v>126</v>
      </c>
      <c r="B86" s="27">
        <v>45309</v>
      </c>
      <c r="C86" s="26" t="s">
        <v>18</v>
      </c>
      <c r="D86" s="26" t="s">
        <v>14</v>
      </c>
      <c r="E86" s="26" t="s">
        <v>46</v>
      </c>
      <c r="F86" s="28">
        <v>59378.81</v>
      </c>
      <c r="G86" s="33" t="s">
        <v>34</v>
      </c>
    </row>
    <row r="87" spans="1:7" x14ac:dyDescent="0.3">
      <c r="A87" s="32" t="s">
        <v>127</v>
      </c>
      <c r="B87" s="27">
        <v>45309</v>
      </c>
      <c r="C87" s="26" t="s">
        <v>18</v>
      </c>
      <c r="D87" s="26" t="s">
        <v>14</v>
      </c>
      <c r="E87" s="26" t="s">
        <v>46</v>
      </c>
      <c r="F87" s="28">
        <v>39084.32</v>
      </c>
      <c r="G87" s="33" t="s">
        <v>34</v>
      </c>
    </row>
    <row r="88" spans="1:7" x14ac:dyDescent="0.3">
      <c r="A88" s="32" t="s">
        <v>128</v>
      </c>
      <c r="B88" s="27">
        <v>45309</v>
      </c>
      <c r="C88" s="26" t="s">
        <v>18</v>
      </c>
      <c r="D88" s="26" t="s">
        <v>15</v>
      </c>
      <c r="E88" s="26" t="s">
        <v>31</v>
      </c>
      <c r="F88" s="28">
        <v>13097.49</v>
      </c>
      <c r="G88" s="33" t="s">
        <v>34</v>
      </c>
    </row>
    <row r="89" spans="1:7" x14ac:dyDescent="0.3">
      <c r="A89" s="32" t="s">
        <v>129</v>
      </c>
      <c r="B89" s="27">
        <v>45309</v>
      </c>
      <c r="C89" s="26" t="s">
        <v>18</v>
      </c>
      <c r="D89" s="26" t="s">
        <v>15</v>
      </c>
      <c r="E89" s="26" t="s">
        <v>27</v>
      </c>
      <c r="F89" s="28">
        <v>12861.05</v>
      </c>
      <c r="G89" s="33" t="s">
        <v>34</v>
      </c>
    </row>
    <row r="90" spans="1:7" x14ac:dyDescent="0.3">
      <c r="A90" s="32" t="s">
        <v>130</v>
      </c>
      <c r="B90" s="27">
        <v>45309</v>
      </c>
      <c r="C90" s="26" t="s">
        <v>18</v>
      </c>
      <c r="D90" s="26" t="s">
        <v>15</v>
      </c>
      <c r="E90" s="26" t="s">
        <v>31</v>
      </c>
      <c r="F90" s="28">
        <v>12506.09</v>
      </c>
      <c r="G90" s="33" t="s">
        <v>34</v>
      </c>
    </row>
    <row r="91" spans="1:7" x14ac:dyDescent="0.3">
      <c r="A91" s="32" t="s">
        <v>131</v>
      </c>
      <c r="B91" s="27">
        <v>45309</v>
      </c>
      <c r="C91" s="26" t="s">
        <v>18</v>
      </c>
      <c r="D91" s="26" t="s">
        <v>15</v>
      </c>
      <c r="E91" s="26" t="s">
        <v>28</v>
      </c>
      <c r="F91" s="28">
        <v>5326.77</v>
      </c>
      <c r="G91" s="33" t="s">
        <v>35</v>
      </c>
    </row>
    <row r="92" spans="1:7" x14ac:dyDescent="0.3">
      <c r="A92" s="32" t="s">
        <v>132</v>
      </c>
      <c r="B92" s="27">
        <v>45309</v>
      </c>
      <c r="C92" s="26" t="s">
        <v>18</v>
      </c>
      <c r="D92" s="26" t="s">
        <v>14</v>
      </c>
      <c r="E92" s="26" t="s">
        <v>46</v>
      </c>
      <c r="F92" s="28">
        <v>23342.73</v>
      </c>
      <c r="G92" s="33" t="s">
        <v>34</v>
      </c>
    </row>
    <row r="93" spans="1:7" x14ac:dyDescent="0.3">
      <c r="A93" s="32" t="s">
        <v>133</v>
      </c>
      <c r="B93" s="27">
        <v>45309</v>
      </c>
      <c r="C93" s="26" t="s">
        <v>18</v>
      </c>
      <c r="D93" s="26" t="s">
        <v>15</v>
      </c>
      <c r="E93" s="26" t="s">
        <v>31</v>
      </c>
      <c r="F93" s="28">
        <v>15785.68</v>
      </c>
      <c r="G93" s="33" t="s">
        <v>34</v>
      </c>
    </row>
    <row r="94" spans="1:7" x14ac:dyDescent="0.3">
      <c r="A94" s="32" t="s">
        <v>134</v>
      </c>
      <c r="B94" s="27">
        <v>45309</v>
      </c>
      <c r="C94" s="26" t="s">
        <v>18</v>
      </c>
      <c r="D94" s="26" t="s">
        <v>15</v>
      </c>
      <c r="E94" s="26" t="s">
        <v>30</v>
      </c>
      <c r="F94" s="28">
        <v>19164.73</v>
      </c>
      <c r="G94" s="33" t="s">
        <v>36</v>
      </c>
    </row>
    <row r="95" spans="1:7" x14ac:dyDescent="0.3">
      <c r="A95" s="32" t="s">
        <v>135</v>
      </c>
      <c r="B95" s="27">
        <v>45309</v>
      </c>
      <c r="C95" s="26" t="s">
        <v>18</v>
      </c>
      <c r="D95" s="26" t="s">
        <v>15</v>
      </c>
      <c r="E95" s="26" t="s">
        <v>31</v>
      </c>
      <c r="F95" s="28">
        <v>5139.6899999999996</v>
      </c>
      <c r="G95" s="33" t="s">
        <v>35</v>
      </c>
    </row>
    <row r="96" spans="1:7" x14ac:dyDescent="0.3">
      <c r="A96" s="32" t="s">
        <v>136</v>
      </c>
      <c r="B96" s="27">
        <v>45310</v>
      </c>
      <c r="C96" s="26" t="s">
        <v>18</v>
      </c>
      <c r="D96" s="26" t="s">
        <v>15</v>
      </c>
      <c r="E96" s="26" t="s">
        <v>28</v>
      </c>
      <c r="F96" s="28">
        <v>3605.63</v>
      </c>
      <c r="G96" s="33" t="s">
        <v>34</v>
      </c>
    </row>
    <row r="97" spans="1:7" x14ac:dyDescent="0.3">
      <c r="A97" s="32" t="s">
        <v>137</v>
      </c>
      <c r="B97" s="27">
        <v>45310</v>
      </c>
      <c r="C97" s="26" t="s">
        <v>18</v>
      </c>
      <c r="D97" s="26" t="s">
        <v>15</v>
      </c>
      <c r="E97" s="26" t="s">
        <v>30</v>
      </c>
      <c r="F97" s="28">
        <v>19771.53</v>
      </c>
      <c r="G97" s="33" t="s">
        <v>34</v>
      </c>
    </row>
    <row r="98" spans="1:7" x14ac:dyDescent="0.3">
      <c r="A98" s="32" t="s">
        <v>138</v>
      </c>
      <c r="B98" s="27">
        <v>45310</v>
      </c>
      <c r="C98" s="26" t="s">
        <v>18</v>
      </c>
      <c r="D98" s="26" t="s">
        <v>15</v>
      </c>
      <c r="E98" s="26" t="s">
        <v>28</v>
      </c>
      <c r="F98" s="28">
        <v>21651.48</v>
      </c>
      <c r="G98" s="33" t="s">
        <v>34</v>
      </c>
    </row>
    <row r="99" spans="1:7" x14ac:dyDescent="0.3">
      <c r="A99" s="32" t="s">
        <v>139</v>
      </c>
      <c r="B99" s="27">
        <v>45310</v>
      </c>
      <c r="C99" s="26" t="s">
        <v>18</v>
      </c>
      <c r="D99" s="26" t="s">
        <v>15</v>
      </c>
      <c r="E99" s="26" t="s">
        <v>28</v>
      </c>
      <c r="F99" s="28">
        <v>9817.1299999999992</v>
      </c>
      <c r="G99" s="33" t="s">
        <v>34</v>
      </c>
    </row>
    <row r="100" spans="1:7" x14ac:dyDescent="0.3">
      <c r="A100" s="32" t="s">
        <v>140</v>
      </c>
      <c r="B100" s="27">
        <v>45310</v>
      </c>
      <c r="C100" s="26" t="s">
        <v>18</v>
      </c>
      <c r="D100" s="26" t="s">
        <v>14</v>
      </c>
      <c r="E100" s="26" t="s">
        <v>46</v>
      </c>
      <c r="F100" s="28">
        <v>65140.22</v>
      </c>
      <c r="G100" s="33" t="s">
        <v>34</v>
      </c>
    </row>
    <row r="101" spans="1:7" x14ac:dyDescent="0.3">
      <c r="A101" s="32" t="s">
        <v>141</v>
      </c>
      <c r="B101" s="27">
        <v>45310</v>
      </c>
      <c r="C101" s="26" t="s">
        <v>18</v>
      </c>
      <c r="D101" s="26" t="s">
        <v>14</v>
      </c>
      <c r="E101" s="26" t="s">
        <v>46</v>
      </c>
      <c r="F101" s="28">
        <v>28702.09</v>
      </c>
      <c r="G101" s="33" t="s">
        <v>34</v>
      </c>
    </row>
    <row r="102" spans="1:7" x14ac:dyDescent="0.3">
      <c r="A102" s="32" t="s">
        <v>142</v>
      </c>
      <c r="B102" s="27">
        <v>45310</v>
      </c>
      <c r="C102" s="26" t="s">
        <v>18</v>
      </c>
      <c r="D102" s="26" t="s">
        <v>14</v>
      </c>
      <c r="E102" s="26" t="s">
        <v>46</v>
      </c>
      <c r="F102" s="28">
        <v>10179.57</v>
      </c>
      <c r="G102" s="33" t="s">
        <v>35</v>
      </c>
    </row>
    <row r="103" spans="1:7" x14ac:dyDescent="0.3">
      <c r="A103" s="32" t="s">
        <v>143</v>
      </c>
      <c r="B103" s="27">
        <v>45310</v>
      </c>
      <c r="C103" s="26" t="s">
        <v>18</v>
      </c>
      <c r="D103" s="26" t="s">
        <v>15</v>
      </c>
      <c r="E103" s="26" t="s">
        <v>29</v>
      </c>
      <c r="F103" s="28">
        <v>18699.169999999998</v>
      </c>
      <c r="G103" s="33" t="s">
        <v>34</v>
      </c>
    </row>
    <row r="104" spans="1:7" x14ac:dyDescent="0.3">
      <c r="A104" s="32" t="s">
        <v>144</v>
      </c>
      <c r="B104" s="27">
        <v>45311</v>
      </c>
      <c r="C104" s="26" t="s">
        <v>18</v>
      </c>
      <c r="D104" s="26" t="s">
        <v>14</v>
      </c>
      <c r="E104" s="26" t="s">
        <v>46</v>
      </c>
      <c r="F104" s="28">
        <v>68623.31</v>
      </c>
      <c r="G104" s="33" t="s">
        <v>34</v>
      </c>
    </row>
    <row r="105" spans="1:7" x14ac:dyDescent="0.3">
      <c r="A105" s="32" t="s">
        <v>145</v>
      </c>
      <c r="B105" s="27">
        <v>45311</v>
      </c>
      <c r="C105" s="26" t="s">
        <v>18</v>
      </c>
      <c r="D105" s="26" t="s">
        <v>15</v>
      </c>
      <c r="E105" s="26" t="s">
        <v>31</v>
      </c>
      <c r="F105" s="28">
        <v>15338.24</v>
      </c>
      <c r="G105" s="33" t="s">
        <v>34</v>
      </c>
    </row>
    <row r="106" spans="1:7" x14ac:dyDescent="0.3">
      <c r="A106" s="32" t="s">
        <v>146</v>
      </c>
      <c r="B106" s="27">
        <v>45311</v>
      </c>
      <c r="C106" s="26" t="s">
        <v>18</v>
      </c>
      <c r="D106" s="26" t="s">
        <v>15</v>
      </c>
      <c r="E106" s="26" t="s">
        <v>31</v>
      </c>
      <c r="F106" s="28">
        <v>17178.64</v>
      </c>
      <c r="G106" s="33" t="s">
        <v>34</v>
      </c>
    </row>
    <row r="107" spans="1:7" x14ac:dyDescent="0.3">
      <c r="A107" s="32" t="s">
        <v>147</v>
      </c>
      <c r="B107" s="27">
        <v>45311</v>
      </c>
      <c r="C107" s="26" t="s">
        <v>18</v>
      </c>
      <c r="D107" s="26" t="s">
        <v>14</v>
      </c>
      <c r="E107" s="26" t="s">
        <v>46</v>
      </c>
      <c r="F107" s="28">
        <v>70568.240000000005</v>
      </c>
      <c r="G107" s="33" t="s">
        <v>35</v>
      </c>
    </row>
    <row r="108" spans="1:7" x14ac:dyDescent="0.3">
      <c r="A108" s="32" t="s">
        <v>148</v>
      </c>
      <c r="B108" s="27">
        <v>45311</v>
      </c>
      <c r="C108" s="26" t="s">
        <v>18</v>
      </c>
      <c r="D108" s="26" t="s">
        <v>15</v>
      </c>
      <c r="E108" s="26" t="s">
        <v>30</v>
      </c>
      <c r="F108" s="28">
        <v>12270.59</v>
      </c>
      <c r="G108" s="33" t="s">
        <v>35</v>
      </c>
    </row>
    <row r="109" spans="1:7" x14ac:dyDescent="0.3">
      <c r="A109" s="32" t="s">
        <v>149</v>
      </c>
      <c r="B109" s="27">
        <v>45312</v>
      </c>
      <c r="C109" s="26" t="s">
        <v>18</v>
      </c>
      <c r="D109" s="26" t="s">
        <v>15</v>
      </c>
      <c r="E109" s="26" t="s">
        <v>28</v>
      </c>
      <c r="F109" s="28">
        <v>13139.85</v>
      </c>
      <c r="G109" s="33" t="s">
        <v>35</v>
      </c>
    </row>
    <row r="110" spans="1:7" x14ac:dyDescent="0.3">
      <c r="A110" s="32" t="s">
        <v>150</v>
      </c>
      <c r="B110" s="27">
        <v>45312</v>
      </c>
      <c r="C110" s="26" t="s">
        <v>18</v>
      </c>
      <c r="D110" s="26" t="s">
        <v>14</v>
      </c>
      <c r="E110" s="26" t="s">
        <v>46</v>
      </c>
      <c r="F110" s="28">
        <v>33270.800000000003</v>
      </c>
      <c r="G110" s="33" t="s">
        <v>34</v>
      </c>
    </row>
    <row r="111" spans="1:7" x14ac:dyDescent="0.3">
      <c r="A111" s="32" t="s">
        <v>151</v>
      </c>
      <c r="B111" s="27">
        <v>45312</v>
      </c>
      <c r="C111" s="26" t="s">
        <v>18</v>
      </c>
      <c r="D111" s="26" t="s">
        <v>14</v>
      </c>
      <c r="E111" s="26" t="s">
        <v>46</v>
      </c>
      <c r="F111" s="28">
        <v>63401.09</v>
      </c>
      <c r="G111" s="33" t="s">
        <v>34</v>
      </c>
    </row>
    <row r="112" spans="1:7" x14ac:dyDescent="0.3">
      <c r="A112" s="32" t="s">
        <v>152</v>
      </c>
      <c r="B112" s="27">
        <v>45312</v>
      </c>
      <c r="C112" s="26" t="s">
        <v>18</v>
      </c>
      <c r="D112" s="26" t="s">
        <v>14</v>
      </c>
      <c r="E112" s="26" t="s">
        <v>46</v>
      </c>
      <c r="F112" s="28">
        <v>36404.699999999997</v>
      </c>
      <c r="G112" s="33" t="s">
        <v>34</v>
      </c>
    </row>
    <row r="113" spans="1:7" x14ac:dyDescent="0.3">
      <c r="A113" s="32" t="s">
        <v>153</v>
      </c>
      <c r="B113" s="27">
        <v>45312</v>
      </c>
      <c r="C113" s="26" t="s">
        <v>18</v>
      </c>
      <c r="D113" s="26" t="s">
        <v>14</v>
      </c>
      <c r="E113" s="26" t="s">
        <v>46</v>
      </c>
      <c r="F113" s="28">
        <v>75299.66</v>
      </c>
      <c r="G113" s="33" t="s">
        <v>34</v>
      </c>
    </row>
    <row r="114" spans="1:7" x14ac:dyDescent="0.3">
      <c r="A114" s="32" t="s">
        <v>154</v>
      </c>
      <c r="B114" s="27">
        <v>45312</v>
      </c>
      <c r="C114" s="26" t="s">
        <v>18</v>
      </c>
      <c r="D114" s="26" t="s">
        <v>15</v>
      </c>
      <c r="E114" s="26" t="s">
        <v>28</v>
      </c>
      <c r="F114" s="28">
        <v>22000.84</v>
      </c>
      <c r="G114" s="33" t="s">
        <v>34</v>
      </c>
    </row>
    <row r="115" spans="1:7" x14ac:dyDescent="0.3">
      <c r="A115" s="32" t="s">
        <v>155</v>
      </c>
      <c r="B115" s="27">
        <v>45312</v>
      </c>
      <c r="C115" s="26" t="s">
        <v>18</v>
      </c>
      <c r="D115" s="26" t="s">
        <v>15</v>
      </c>
      <c r="E115" s="26" t="s">
        <v>29</v>
      </c>
      <c r="F115" s="28">
        <v>24557.82</v>
      </c>
      <c r="G115" s="33" t="s">
        <v>35</v>
      </c>
    </row>
    <row r="116" spans="1:7" x14ac:dyDescent="0.3">
      <c r="A116" s="32" t="s">
        <v>156</v>
      </c>
      <c r="B116" s="27">
        <v>45312</v>
      </c>
      <c r="C116" s="26" t="s">
        <v>18</v>
      </c>
      <c r="D116" s="26" t="s">
        <v>15</v>
      </c>
      <c r="E116" s="26" t="s">
        <v>27</v>
      </c>
      <c r="F116" s="28">
        <v>7492.53</v>
      </c>
      <c r="G116" s="33" t="s">
        <v>34</v>
      </c>
    </row>
    <row r="117" spans="1:7" x14ac:dyDescent="0.3">
      <c r="A117" s="32" t="s">
        <v>157</v>
      </c>
      <c r="B117" s="27">
        <v>45313</v>
      </c>
      <c r="C117" s="26" t="s">
        <v>18</v>
      </c>
      <c r="D117" s="26" t="s">
        <v>15</v>
      </c>
      <c r="E117" s="26" t="s">
        <v>27</v>
      </c>
      <c r="F117" s="28">
        <v>10808.33</v>
      </c>
      <c r="G117" s="33" t="s">
        <v>34</v>
      </c>
    </row>
    <row r="118" spans="1:7" x14ac:dyDescent="0.3">
      <c r="A118" s="32" t="s">
        <v>158</v>
      </c>
      <c r="B118" s="27">
        <v>45313</v>
      </c>
      <c r="C118" s="26" t="s">
        <v>18</v>
      </c>
      <c r="D118" s="26" t="s">
        <v>15</v>
      </c>
      <c r="E118" s="26" t="s">
        <v>28</v>
      </c>
      <c r="F118" s="28">
        <v>21688.3</v>
      </c>
      <c r="G118" s="33" t="s">
        <v>34</v>
      </c>
    </row>
    <row r="119" spans="1:7" x14ac:dyDescent="0.3">
      <c r="A119" s="32" t="s">
        <v>159</v>
      </c>
      <c r="B119" s="27">
        <v>45313</v>
      </c>
      <c r="C119" s="26" t="s">
        <v>18</v>
      </c>
      <c r="D119" s="26" t="s">
        <v>14</v>
      </c>
      <c r="E119" s="26" t="s">
        <v>46</v>
      </c>
      <c r="F119" s="28">
        <v>38754.26</v>
      </c>
      <c r="G119" s="33" t="s">
        <v>34</v>
      </c>
    </row>
    <row r="120" spans="1:7" x14ac:dyDescent="0.3">
      <c r="A120" s="32" t="s">
        <v>160</v>
      </c>
      <c r="B120" s="27">
        <v>45313</v>
      </c>
      <c r="C120" s="26" t="s">
        <v>18</v>
      </c>
      <c r="D120" s="26" t="s">
        <v>15</v>
      </c>
      <c r="E120" s="26" t="s">
        <v>27</v>
      </c>
      <c r="F120" s="28">
        <v>9318.06</v>
      </c>
      <c r="G120" s="33" t="s">
        <v>34</v>
      </c>
    </row>
    <row r="121" spans="1:7" x14ac:dyDescent="0.3">
      <c r="A121" s="32" t="s">
        <v>161</v>
      </c>
      <c r="B121" s="27">
        <v>45313</v>
      </c>
      <c r="C121" s="26" t="s">
        <v>18</v>
      </c>
      <c r="D121" s="26" t="s">
        <v>15</v>
      </c>
      <c r="E121" s="26" t="s">
        <v>27</v>
      </c>
      <c r="F121" s="28">
        <v>12878.45</v>
      </c>
      <c r="G121" s="33" t="s">
        <v>36</v>
      </c>
    </row>
    <row r="122" spans="1:7" x14ac:dyDescent="0.3">
      <c r="A122" s="32" t="s">
        <v>162</v>
      </c>
      <c r="B122" s="27">
        <v>45314</v>
      </c>
      <c r="C122" s="26" t="s">
        <v>18</v>
      </c>
      <c r="D122" s="26" t="s">
        <v>15</v>
      </c>
      <c r="E122" s="26" t="s">
        <v>27</v>
      </c>
      <c r="F122" s="28">
        <v>23008.89</v>
      </c>
      <c r="G122" s="33" t="s">
        <v>35</v>
      </c>
    </row>
    <row r="123" spans="1:7" x14ac:dyDescent="0.3">
      <c r="A123" s="32" t="s">
        <v>163</v>
      </c>
      <c r="B123" s="27">
        <v>45314</v>
      </c>
      <c r="C123" s="26" t="s">
        <v>18</v>
      </c>
      <c r="D123" s="26" t="s">
        <v>15</v>
      </c>
      <c r="E123" s="26" t="s">
        <v>27</v>
      </c>
      <c r="F123" s="28">
        <v>10768.32</v>
      </c>
      <c r="G123" s="33" t="s">
        <v>36</v>
      </c>
    </row>
    <row r="124" spans="1:7" x14ac:dyDescent="0.3">
      <c r="A124" s="32" t="s">
        <v>164</v>
      </c>
      <c r="B124" s="27">
        <v>45315</v>
      </c>
      <c r="C124" s="26" t="s">
        <v>18</v>
      </c>
      <c r="D124" s="26" t="s">
        <v>14</v>
      </c>
      <c r="E124" s="26" t="s">
        <v>46</v>
      </c>
      <c r="F124" s="28">
        <v>79188.98</v>
      </c>
      <c r="G124" s="33" t="s">
        <v>34</v>
      </c>
    </row>
    <row r="125" spans="1:7" x14ac:dyDescent="0.3">
      <c r="A125" s="32" t="s">
        <v>165</v>
      </c>
      <c r="B125" s="27">
        <v>45315</v>
      </c>
      <c r="C125" s="26" t="s">
        <v>18</v>
      </c>
      <c r="D125" s="26" t="s">
        <v>14</v>
      </c>
      <c r="E125" s="26" t="s">
        <v>46</v>
      </c>
      <c r="F125" s="28">
        <v>65467.56</v>
      </c>
      <c r="G125" s="33" t="s">
        <v>34</v>
      </c>
    </row>
    <row r="126" spans="1:7" x14ac:dyDescent="0.3">
      <c r="A126" s="32" t="s">
        <v>166</v>
      </c>
      <c r="B126" s="27">
        <v>45315</v>
      </c>
      <c r="C126" s="26" t="s">
        <v>18</v>
      </c>
      <c r="D126" s="26" t="s">
        <v>14</v>
      </c>
      <c r="E126" s="26" t="s">
        <v>46</v>
      </c>
      <c r="F126" s="28">
        <v>55641.33</v>
      </c>
      <c r="G126" s="33" t="s">
        <v>34</v>
      </c>
    </row>
    <row r="127" spans="1:7" x14ac:dyDescent="0.3">
      <c r="A127" s="32" t="s">
        <v>167</v>
      </c>
      <c r="B127" s="27">
        <v>45315</v>
      </c>
      <c r="C127" s="26" t="s">
        <v>18</v>
      </c>
      <c r="D127" s="26" t="s">
        <v>15</v>
      </c>
      <c r="E127" s="26" t="s">
        <v>27</v>
      </c>
      <c r="F127" s="28">
        <v>5498.42</v>
      </c>
      <c r="G127" s="33" t="s">
        <v>34</v>
      </c>
    </row>
    <row r="128" spans="1:7" x14ac:dyDescent="0.3">
      <c r="A128" s="32" t="s">
        <v>168</v>
      </c>
      <c r="B128" s="27">
        <v>45315</v>
      </c>
      <c r="C128" s="26" t="s">
        <v>18</v>
      </c>
      <c r="D128" s="26" t="s">
        <v>15</v>
      </c>
      <c r="E128" s="26" t="s">
        <v>31</v>
      </c>
      <c r="F128" s="28">
        <v>24190.959999999999</v>
      </c>
      <c r="G128" s="33" t="s">
        <v>35</v>
      </c>
    </row>
    <row r="129" spans="1:7" x14ac:dyDescent="0.3">
      <c r="A129" s="32" t="s">
        <v>169</v>
      </c>
      <c r="B129" s="27">
        <v>45315</v>
      </c>
      <c r="C129" s="26" t="s">
        <v>18</v>
      </c>
      <c r="D129" s="26" t="s">
        <v>15</v>
      </c>
      <c r="E129" s="26" t="s">
        <v>28</v>
      </c>
      <c r="F129" s="28">
        <v>4903.66</v>
      </c>
      <c r="G129" s="33" t="s">
        <v>34</v>
      </c>
    </row>
    <row r="130" spans="1:7" x14ac:dyDescent="0.3">
      <c r="A130" s="32" t="s">
        <v>170</v>
      </c>
      <c r="B130" s="27">
        <v>45315</v>
      </c>
      <c r="C130" s="26" t="s">
        <v>18</v>
      </c>
      <c r="D130" s="26" t="s">
        <v>14</v>
      </c>
      <c r="E130" s="26" t="s">
        <v>46</v>
      </c>
      <c r="F130" s="28">
        <v>77574.75</v>
      </c>
      <c r="G130" s="33" t="s">
        <v>34</v>
      </c>
    </row>
    <row r="131" spans="1:7" x14ac:dyDescent="0.3">
      <c r="A131" s="32" t="s">
        <v>171</v>
      </c>
      <c r="B131" s="27">
        <v>45316</v>
      </c>
      <c r="C131" s="26" t="s">
        <v>18</v>
      </c>
      <c r="D131" s="26" t="s">
        <v>15</v>
      </c>
      <c r="E131" s="26" t="s">
        <v>28</v>
      </c>
      <c r="F131" s="28">
        <v>9635.8799999999992</v>
      </c>
      <c r="G131" s="33" t="s">
        <v>34</v>
      </c>
    </row>
    <row r="132" spans="1:7" x14ac:dyDescent="0.3">
      <c r="A132" s="32" t="s">
        <v>172</v>
      </c>
      <c r="B132" s="27">
        <v>45316</v>
      </c>
      <c r="C132" s="26" t="s">
        <v>18</v>
      </c>
      <c r="D132" s="26" t="s">
        <v>15</v>
      </c>
      <c r="E132" s="26" t="s">
        <v>29</v>
      </c>
      <c r="F132" s="28">
        <v>4308.3900000000003</v>
      </c>
      <c r="G132" s="33" t="s">
        <v>34</v>
      </c>
    </row>
    <row r="133" spans="1:7" x14ac:dyDescent="0.3">
      <c r="A133" s="32" t="s">
        <v>173</v>
      </c>
      <c r="B133" s="27">
        <v>45316</v>
      </c>
      <c r="C133" s="26" t="s">
        <v>18</v>
      </c>
      <c r="D133" s="26" t="s">
        <v>14</v>
      </c>
      <c r="E133" s="26" t="s">
        <v>46</v>
      </c>
      <c r="F133" s="28">
        <v>69152.759999999995</v>
      </c>
      <c r="G133" s="33" t="s">
        <v>35</v>
      </c>
    </row>
    <row r="134" spans="1:7" x14ac:dyDescent="0.3">
      <c r="A134" s="32" t="s">
        <v>174</v>
      </c>
      <c r="B134" s="27">
        <v>45317</v>
      </c>
      <c r="C134" s="26" t="s">
        <v>18</v>
      </c>
      <c r="D134" s="26" t="s">
        <v>14</v>
      </c>
      <c r="E134" s="26" t="s">
        <v>46</v>
      </c>
      <c r="F134" s="28">
        <v>16979.82</v>
      </c>
      <c r="G134" s="33" t="s">
        <v>34</v>
      </c>
    </row>
    <row r="135" spans="1:7" x14ac:dyDescent="0.3">
      <c r="A135" s="32" t="s">
        <v>175</v>
      </c>
      <c r="B135" s="27">
        <v>45317</v>
      </c>
      <c r="C135" s="26" t="s">
        <v>18</v>
      </c>
      <c r="D135" s="26" t="s">
        <v>14</v>
      </c>
      <c r="E135" s="26" t="s">
        <v>46</v>
      </c>
      <c r="F135" s="28">
        <v>73730.92</v>
      </c>
      <c r="G135" s="33" t="s">
        <v>34</v>
      </c>
    </row>
    <row r="136" spans="1:7" x14ac:dyDescent="0.3">
      <c r="A136" s="32" t="s">
        <v>176</v>
      </c>
      <c r="B136" s="27">
        <v>45317</v>
      </c>
      <c r="C136" s="26" t="s">
        <v>18</v>
      </c>
      <c r="D136" s="26" t="s">
        <v>15</v>
      </c>
      <c r="E136" s="26" t="s">
        <v>27</v>
      </c>
      <c r="F136" s="28">
        <v>2352.9899999999998</v>
      </c>
      <c r="G136" s="33" t="s">
        <v>34</v>
      </c>
    </row>
    <row r="137" spans="1:7" x14ac:dyDescent="0.3">
      <c r="A137" s="32" t="s">
        <v>177</v>
      </c>
      <c r="B137" s="27">
        <v>45317</v>
      </c>
      <c r="C137" s="26" t="s">
        <v>18</v>
      </c>
      <c r="D137" s="26" t="s">
        <v>14</v>
      </c>
      <c r="E137" s="26" t="s">
        <v>46</v>
      </c>
      <c r="F137" s="28">
        <v>20090.88</v>
      </c>
      <c r="G137" s="33" t="s">
        <v>34</v>
      </c>
    </row>
    <row r="138" spans="1:7" x14ac:dyDescent="0.3">
      <c r="A138" s="32" t="s">
        <v>178</v>
      </c>
      <c r="B138" s="27">
        <v>45317</v>
      </c>
      <c r="C138" s="26" t="s">
        <v>18</v>
      </c>
      <c r="D138" s="26" t="s">
        <v>15</v>
      </c>
      <c r="E138" s="26" t="s">
        <v>31</v>
      </c>
      <c r="F138" s="28">
        <v>22031.46</v>
      </c>
      <c r="G138" s="33" t="s">
        <v>35</v>
      </c>
    </row>
    <row r="139" spans="1:7" x14ac:dyDescent="0.3">
      <c r="A139" s="32" t="s">
        <v>179</v>
      </c>
      <c r="B139" s="27">
        <v>45317</v>
      </c>
      <c r="C139" s="26" t="s">
        <v>18</v>
      </c>
      <c r="D139" s="26" t="s">
        <v>15</v>
      </c>
      <c r="E139" s="26" t="s">
        <v>30</v>
      </c>
      <c r="F139" s="28">
        <v>24309.01</v>
      </c>
      <c r="G139" s="33" t="s">
        <v>35</v>
      </c>
    </row>
    <row r="140" spans="1:7" x14ac:dyDescent="0.3">
      <c r="A140" s="32" t="s">
        <v>180</v>
      </c>
      <c r="B140" s="27">
        <v>45318</v>
      </c>
      <c r="C140" s="26" t="s">
        <v>18</v>
      </c>
      <c r="D140" s="26" t="s">
        <v>15</v>
      </c>
      <c r="E140" s="26" t="s">
        <v>27</v>
      </c>
      <c r="F140" s="28">
        <v>3721.05</v>
      </c>
      <c r="G140" s="33" t="s">
        <v>36</v>
      </c>
    </row>
    <row r="141" spans="1:7" x14ac:dyDescent="0.3">
      <c r="A141" s="32" t="s">
        <v>181</v>
      </c>
      <c r="B141" s="27">
        <v>45318</v>
      </c>
      <c r="C141" s="26" t="s">
        <v>18</v>
      </c>
      <c r="D141" s="26" t="s">
        <v>15</v>
      </c>
      <c r="E141" s="26" t="s">
        <v>28</v>
      </c>
      <c r="F141" s="28">
        <v>19975.080000000002</v>
      </c>
      <c r="G141" s="33" t="s">
        <v>35</v>
      </c>
    </row>
    <row r="142" spans="1:7" x14ac:dyDescent="0.3">
      <c r="A142" s="32" t="s">
        <v>182</v>
      </c>
      <c r="B142" s="27">
        <v>45318</v>
      </c>
      <c r="C142" s="26" t="s">
        <v>18</v>
      </c>
      <c r="D142" s="26" t="s">
        <v>15</v>
      </c>
      <c r="E142" s="26" t="s">
        <v>31</v>
      </c>
      <c r="F142" s="28">
        <v>8095.52</v>
      </c>
      <c r="G142" s="33" t="s">
        <v>34</v>
      </c>
    </row>
    <row r="143" spans="1:7" x14ac:dyDescent="0.3">
      <c r="A143" s="32" t="s">
        <v>183</v>
      </c>
      <c r="B143" s="27">
        <v>45318</v>
      </c>
      <c r="C143" s="26" t="s">
        <v>18</v>
      </c>
      <c r="D143" s="26" t="s">
        <v>14</v>
      </c>
      <c r="E143" s="26" t="s">
        <v>46</v>
      </c>
      <c r="F143" s="28">
        <v>53628.160000000003</v>
      </c>
      <c r="G143" s="33" t="s">
        <v>35</v>
      </c>
    </row>
    <row r="144" spans="1:7" x14ac:dyDescent="0.3">
      <c r="A144" s="32" t="s">
        <v>184</v>
      </c>
      <c r="B144" s="27">
        <v>45318</v>
      </c>
      <c r="C144" s="26" t="s">
        <v>18</v>
      </c>
      <c r="D144" s="26" t="s">
        <v>15</v>
      </c>
      <c r="E144" s="26" t="s">
        <v>31</v>
      </c>
      <c r="F144" s="28">
        <v>11142.12</v>
      </c>
      <c r="G144" s="33" t="s">
        <v>34</v>
      </c>
    </row>
    <row r="145" spans="1:7" x14ac:dyDescent="0.3">
      <c r="A145" s="32" t="s">
        <v>185</v>
      </c>
      <c r="B145" s="27">
        <v>45318</v>
      </c>
      <c r="C145" s="26" t="s">
        <v>18</v>
      </c>
      <c r="D145" s="26" t="s">
        <v>14</v>
      </c>
      <c r="E145" s="26" t="s">
        <v>46</v>
      </c>
      <c r="F145" s="28">
        <v>15622.07</v>
      </c>
      <c r="G145" s="33" t="s">
        <v>34</v>
      </c>
    </row>
    <row r="146" spans="1:7" x14ac:dyDescent="0.3">
      <c r="A146" s="32" t="s">
        <v>186</v>
      </c>
      <c r="B146" s="27">
        <v>45319</v>
      </c>
      <c r="C146" s="26" t="s">
        <v>18</v>
      </c>
      <c r="D146" s="26" t="s">
        <v>14</v>
      </c>
      <c r="E146" s="26" t="s">
        <v>46</v>
      </c>
      <c r="F146" s="28">
        <v>32999.589999999997</v>
      </c>
      <c r="G146" s="33" t="s">
        <v>35</v>
      </c>
    </row>
    <row r="147" spans="1:7" x14ac:dyDescent="0.3">
      <c r="A147" s="32" t="s">
        <v>187</v>
      </c>
      <c r="B147" s="27">
        <v>45319</v>
      </c>
      <c r="C147" s="26" t="s">
        <v>18</v>
      </c>
      <c r="D147" s="26" t="s">
        <v>14</v>
      </c>
      <c r="E147" s="26" t="s">
        <v>46</v>
      </c>
      <c r="F147" s="28">
        <v>57205.02</v>
      </c>
      <c r="G147" s="33" t="s">
        <v>34</v>
      </c>
    </row>
    <row r="148" spans="1:7" x14ac:dyDescent="0.3">
      <c r="A148" s="32" t="s">
        <v>188</v>
      </c>
      <c r="B148" s="27">
        <v>45319</v>
      </c>
      <c r="C148" s="26" t="s">
        <v>18</v>
      </c>
      <c r="D148" s="26" t="s">
        <v>15</v>
      </c>
      <c r="E148" s="26" t="s">
        <v>28</v>
      </c>
      <c r="F148" s="28">
        <v>14273.31</v>
      </c>
      <c r="G148" s="33" t="s">
        <v>36</v>
      </c>
    </row>
    <row r="149" spans="1:7" x14ac:dyDescent="0.3">
      <c r="A149" s="32" t="s">
        <v>189</v>
      </c>
      <c r="B149" s="27">
        <v>45319</v>
      </c>
      <c r="C149" s="26" t="s">
        <v>18</v>
      </c>
      <c r="D149" s="26" t="s">
        <v>15</v>
      </c>
      <c r="E149" s="26" t="s">
        <v>29</v>
      </c>
      <c r="F149" s="28">
        <v>23945.21</v>
      </c>
      <c r="G149" s="33" t="s">
        <v>34</v>
      </c>
    </row>
    <row r="150" spans="1:7" x14ac:dyDescent="0.3">
      <c r="A150" s="32" t="s">
        <v>190</v>
      </c>
      <c r="B150" s="27">
        <v>45319</v>
      </c>
      <c r="C150" s="26" t="s">
        <v>18</v>
      </c>
      <c r="D150" s="26" t="s">
        <v>14</v>
      </c>
      <c r="E150" s="26" t="s">
        <v>46</v>
      </c>
      <c r="F150" s="28">
        <v>53875.94</v>
      </c>
      <c r="G150" s="33" t="s">
        <v>34</v>
      </c>
    </row>
    <row r="151" spans="1:7" x14ac:dyDescent="0.3">
      <c r="A151" s="32" t="s">
        <v>191</v>
      </c>
      <c r="B151" s="27">
        <v>45319</v>
      </c>
      <c r="C151" s="26" t="s">
        <v>18</v>
      </c>
      <c r="D151" s="26" t="s">
        <v>14</v>
      </c>
      <c r="E151" s="26" t="s">
        <v>46</v>
      </c>
      <c r="F151" s="28">
        <v>72120.710000000006</v>
      </c>
      <c r="G151" s="33" t="s">
        <v>35</v>
      </c>
    </row>
    <row r="152" spans="1:7" x14ac:dyDescent="0.3">
      <c r="A152" s="32" t="s">
        <v>192</v>
      </c>
      <c r="B152" s="27">
        <v>45319</v>
      </c>
      <c r="C152" s="26" t="s">
        <v>18</v>
      </c>
      <c r="D152" s="26" t="s">
        <v>15</v>
      </c>
      <c r="E152" s="26" t="s">
        <v>27</v>
      </c>
      <c r="F152" s="28">
        <v>13222.79</v>
      </c>
      <c r="G152" s="33" t="s">
        <v>35</v>
      </c>
    </row>
    <row r="153" spans="1:7" x14ac:dyDescent="0.3">
      <c r="A153" s="32" t="s">
        <v>193</v>
      </c>
      <c r="B153" s="27">
        <v>45319</v>
      </c>
      <c r="C153" s="26" t="s">
        <v>18</v>
      </c>
      <c r="D153" s="26" t="s">
        <v>14</v>
      </c>
      <c r="E153" s="26" t="s">
        <v>46</v>
      </c>
      <c r="F153" s="28">
        <v>47871.12</v>
      </c>
      <c r="G153" s="33" t="s">
        <v>34</v>
      </c>
    </row>
    <row r="154" spans="1:7" x14ac:dyDescent="0.3">
      <c r="A154" s="32" t="s">
        <v>194</v>
      </c>
      <c r="B154" s="27">
        <v>45320</v>
      </c>
      <c r="C154" s="26" t="s">
        <v>18</v>
      </c>
      <c r="D154" s="26" t="s">
        <v>14</v>
      </c>
      <c r="E154" s="26" t="s">
        <v>46</v>
      </c>
      <c r="F154" s="28">
        <v>53222.16</v>
      </c>
      <c r="G154" s="33" t="s">
        <v>34</v>
      </c>
    </row>
    <row r="155" spans="1:7" x14ac:dyDescent="0.3">
      <c r="A155" s="32" t="s">
        <v>195</v>
      </c>
      <c r="B155" s="27">
        <v>45320</v>
      </c>
      <c r="C155" s="26" t="s">
        <v>18</v>
      </c>
      <c r="D155" s="26" t="s">
        <v>15</v>
      </c>
      <c r="E155" s="26" t="s">
        <v>31</v>
      </c>
      <c r="F155" s="28">
        <v>7399.72</v>
      </c>
      <c r="G155" s="33" t="s">
        <v>34</v>
      </c>
    </row>
    <row r="156" spans="1:7" x14ac:dyDescent="0.3">
      <c r="A156" s="32" t="s">
        <v>196</v>
      </c>
      <c r="B156" s="27">
        <v>45320</v>
      </c>
      <c r="C156" s="26" t="s">
        <v>18</v>
      </c>
      <c r="D156" s="26" t="s">
        <v>15</v>
      </c>
      <c r="E156" s="26" t="s">
        <v>27</v>
      </c>
      <c r="F156" s="28">
        <v>17741.189999999999</v>
      </c>
      <c r="G156" s="33" t="s">
        <v>34</v>
      </c>
    </row>
    <row r="157" spans="1:7" x14ac:dyDescent="0.3">
      <c r="A157" s="32" t="s">
        <v>197</v>
      </c>
      <c r="B157" s="27">
        <v>45320</v>
      </c>
      <c r="C157" s="26" t="s">
        <v>18</v>
      </c>
      <c r="D157" s="26" t="s">
        <v>14</v>
      </c>
      <c r="E157" s="26" t="s">
        <v>46</v>
      </c>
      <c r="F157" s="28">
        <v>30116.53</v>
      </c>
      <c r="G157" s="33" t="s">
        <v>34</v>
      </c>
    </row>
    <row r="158" spans="1:7" x14ac:dyDescent="0.3">
      <c r="A158" s="32" t="s">
        <v>198</v>
      </c>
      <c r="B158" s="27">
        <v>45320</v>
      </c>
      <c r="C158" s="26" t="s">
        <v>18</v>
      </c>
      <c r="D158" s="26" t="s">
        <v>15</v>
      </c>
      <c r="E158" s="26" t="s">
        <v>31</v>
      </c>
      <c r="F158" s="28">
        <v>7232.18</v>
      </c>
      <c r="G158" s="33" t="s">
        <v>35</v>
      </c>
    </row>
    <row r="159" spans="1:7" x14ac:dyDescent="0.3">
      <c r="A159" s="32" t="s">
        <v>199</v>
      </c>
      <c r="B159" s="27">
        <v>45321</v>
      </c>
      <c r="C159" s="26" t="s">
        <v>18</v>
      </c>
      <c r="D159" s="26" t="s">
        <v>15</v>
      </c>
      <c r="E159" s="26" t="s">
        <v>29</v>
      </c>
      <c r="F159" s="28">
        <v>4078.72</v>
      </c>
      <c r="G159" s="33" t="s">
        <v>34</v>
      </c>
    </row>
    <row r="160" spans="1:7" x14ac:dyDescent="0.3">
      <c r="A160" s="32" t="s">
        <v>200</v>
      </c>
      <c r="B160" s="27">
        <v>45321</v>
      </c>
      <c r="C160" s="26" t="s">
        <v>18</v>
      </c>
      <c r="D160" s="26" t="s">
        <v>14</v>
      </c>
      <c r="E160" s="26" t="s">
        <v>46</v>
      </c>
      <c r="F160" s="28">
        <v>78483.64</v>
      </c>
      <c r="G160" s="33" t="s">
        <v>35</v>
      </c>
    </row>
    <row r="161" spans="1:7" x14ac:dyDescent="0.3">
      <c r="A161" s="32" t="s">
        <v>201</v>
      </c>
      <c r="B161" s="27">
        <v>45321</v>
      </c>
      <c r="C161" s="26" t="s">
        <v>18</v>
      </c>
      <c r="D161" s="26" t="s">
        <v>15</v>
      </c>
      <c r="E161" s="26" t="s">
        <v>29</v>
      </c>
      <c r="F161" s="28">
        <v>19488.5</v>
      </c>
      <c r="G161" s="33" t="s">
        <v>34</v>
      </c>
    </row>
    <row r="162" spans="1:7" x14ac:dyDescent="0.3">
      <c r="A162" s="32" t="s">
        <v>202</v>
      </c>
      <c r="B162" s="27">
        <v>45321</v>
      </c>
      <c r="C162" s="26" t="s">
        <v>18</v>
      </c>
      <c r="D162" s="26" t="s">
        <v>15</v>
      </c>
      <c r="E162" s="26" t="s">
        <v>28</v>
      </c>
      <c r="F162" s="28">
        <v>18189.490000000002</v>
      </c>
      <c r="G162" s="33" t="s">
        <v>34</v>
      </c>
    </row>
    <row r="163" spans="1:7" x14ac:dyDescent="0.3">
      <c r="A163" s="32" t="s">
        <v>203</v>
      </c>
      <c r="B163" s="27">
        <v>45321</v>
      </c>
      <c r="C163" s="26" t="s">
        <v>18</v>
      </c>
      <c r="D163" s="26" t="s">
        <v>15</v>
      </c>
      <c r="E163" s="26" t="s">
        <v>27</v>
      </c>
      <c r="F163" s="28">
        <v>4311.67</v>
      </c>
      <c r="G163" s="33" t="s">
        <v>35</v>
      </c>
    </row>
    <row r="164" spans="1:7" x14ac:dyDescent="0.3">
      <c r="A164" s="32" t="s">
        <v>204</v>
      </c>
      <c r="B164" s="27">
        <v>45321</v>
      </c>
      <c r="C164" s="26" t="s">
        <v>18</v>
      </c>
      <c r="D164" s="26" t="s">
        <v>15</v>
      </c>
      <c r="E164" s="26" t="s">
        <v>27</v>
      </c>
      <c r="F164" s="28">
        <v>5826.39</v>
      </c>
      <c r="G164" s="33" t="s">
        <v>34</v>
      </c>
    </row>
    <row r="165" spans="1:7" x14ac:dyDescent="0.3">
      <c r="A165" s="32" t="s">
        <v>205</v>
      </c>
      <c r="B165" s="27">
        <v>45321</v>
      </c>
      <c r="C165" s="26" t="s">
        <v>18</v>
      </c>
      <c r="D165" s="26" t="s">
        <v>15</v>
      </c>
      <c r="E165" s="26" t="s">
        <v>27</v>
      </c>
      <c r="F165" s="28">
        <v>8887.7199999999993</v>
      </c>
      <c r="G165" s="33" t="s">
        <v>34</v>
      </c>
    </row>
    <row r="166" spans="1:7" x14ac:dyDescent="0.3">
      <c r="A166" s="32" t="s">
        <v>206</v>
      </c>
      <c r="B166" s="27">
        <v>45321</v>
      </c>
      <c r="C166" s="26" t="s">
        <v>18</v>
      </c>
      <c r="D166" s="26" t="s">
        <v>14</v>
      </c>
      <c r="E166" s="26" t="s">
        <v>46</v>
      </c>
      <c r="F166" s="28">
        <v>12026.31</v>
      </c>
      <c r="G166" s="33" t="s">
        <v>34</v>
      </c>
    </row>
    <row r="167" spans="1:7" x14ac:dyDescent="0.3">
      <c r="A167" s="32" t="s">
        <v>207</v>
      </c>
      <c r="B167" s="27">
        <v>45322</v>
      </c>
      <c r="C167" s="26" t="s">
        <v>18</v>
      </c>
      <c r="D167" s="26" t="s">
        <v>15</v>
      </c>
      <c r="E167" s="26" t="s">
        <v>27</v>
      </c>
      <c r="F167" s="28">
        <v>9460.6200000000008</v>
      </c>
      <c r="G167" s="33" t="s">
        <v>36</v>
      </c>
    </row>
    <row r="168" spans="1:7" x14ac:dyDescent="0.3">
      <c r="A168" s="32" t="s">
        <v>208</v>
      </c>
      <c r="B168" s="27">
        <v>45322</v>
      </c>
      <c r="C168" s="26" t="s">
        <v>18</v>
      </c>
      <c r="D168" s="26" t="s">
        <v>14</v>
      </c>
      <c r="E168" s="26" t="s">
        <v>46</v>
      </c>
      <c r="F168" s="28">
        <v>13928.35</v>
      </c>
      <c r="G168" s="33" t="s">
        <v>35</v>
      </c>
    </row>
    <row r="169" spans="1:7" x14ac:dyDescent="0.3">
      <c r="A169" s="32" t="s">
        <v>209</v>
      </c>
      <c r="B169" s="27">
        <v>45322</v>
      </c>
      <c r="C169" s="26" t="s">
        <v>18</v>
      </c>
      <c r="D169" s="26" t="s">
        <v>14</v>
      </c>
      <c r="E169" s="26" t="s">
        <v>46</v>
      </c>
      <c r="F169" s="28">
        <v>35092.43</v>
      </c>
      <c r="G169" s="33" t="s">
        <v>34</v>
      </c>
    </row>
    <row r="170" spans="1:7" x14ac:dyDescent="0.3">
      <c r="A170" s="32" t="s">
        <v>210</v>
      </c>
      <c r="B170" s="27">
        <v>45322</v>
      </c>
      <c r="C170" s="26" t="s">
        <v>18</v>
      </c>
      <c r="D170" s="26" t="s">
        <v>14</v>
      </c>
      <c r="E170" s="26" t="s">
        <v>46</v>
      </c>
      <c r="F170" s="28">
        <v>40148.080000000002</v>
      </c>
      <c r="G170" s="33" t="s">
        <v>34</v>
      </c>
    </row>
    <row r="171" spans="1:7" x14ac:dyDescent="0.3">
      <c r="A171" s="32" t="s">
        <v>211</v>
      </c>
      <c r="B171" s="27">
        <v>45322</v>
      </c>
      <c r="C171" s="26" t="s">
        <v>18</v>
      </c>
      <c r="D171" s="26" t="s">
        <v>15</v>
      </c>
      <c r="E171" s="26" t="s">
        <v>30</v>
      </c>
      <c r="F171" s="28">
        <v>7616.54</v>
      </c>
      <c r="G171" s="33" t="s">
        <v>34</v>
      </c>
    </row>
    <row r="172" spans="1:7" x14ac:dyDescent="0.3">
      <c r="A172" s="32" t="s">
        <v>212</v>
      </c>
      <c r="B172" s="27">
        <v>45322</v>
      </c>
      <c r="C172" s="26" t="s">
        <v>18</v>
      </c>
      <c r="D172" s="26" t="s">
        <v>15</v>
      </c>
      <c r="E172" s="26" t="s">
        <v>28</v>
      </c>
      <c r="F172" s="28">
        <v>11477.19</v>
      </c>
      <c r="G172" s="33" t="s">
        <v>35</v>
      </c>
    </row>
    <row r="173" spans="1:7" x14ac:dyDescent="0.3">
      <c r="A173" s="32" t="s">
        <v>213</v>
      </c>
      <c r="B173" s="27">
        <v>45323</v>
      </c>
      <c r="C173" s="26" t="s">
        <v>19</v>
      </c>
      <c r="D173" s="26" t="s">
        <v>14</v>
      </c>
      <c r="E173" s="26" t="s">
        <v>46</v>
      </c>
      <c r="F173" s="28">
        <v>57726.03</v>
      </c>
      <c r="G173" s="33" t="s">
        <v>35</v>
      </c>
    </row>
    <row r="174" spans="1:7" x14ac:dyDescent="0.3">
      <c r="A174" s="32" t="s">
        <v>214</v>
      </c>
      <c r="B174" s="27">
        <v>45323</v>
      </c>
      <c r="C174" s="26" t="s">
        <v>19</v>
      </c>
      <c r="D174" s="26" t="s">
        <v>15</v>
      </c>
      <c r="E174" s="26" t="s">
        <v>27</v>
      </c>
      <c r="F174" s="28">
        <v>6141.31</v>
      </c>
      <c r="G174" s="33" t="s">
        <v>34</v>
      </c>
    </row>
    <row r="175" spans="1:7" x14ac:dyDescent="0.3">
      <c r="A175" s="32" t="s">
        <v>215</v>
      </c>
      <c r="B175" s="27">
        <v>45323</v>
      </c>
      <c r="C175" s="26" t="s">
        <v>19</v>
      </c>
      <c r="D175" s="26" t="s">
        <v>14</v>
      </c>
      <c r="E175" s="26" t="s">
        <v>46</v>
      </c>
      <c r="F175" s="28">
        <v>22254.85</v>
      </c>
      <c r="G175" s="33" t="s">
        <v>34</v>
      </c>
    </row>
    <row r="176" spans="1:7" x14ac:dyDescent="0.3">
      <c r="A176" s="32" t="s">
        <v>216</v>
      </c>
      <c r="B176" s="27">
        <v>45324</v>
      </c>
      <c r="C176" s="26" t="s">
        <v>19</v>
      </c>
      <c r="D176" s="26" t="s">
        <v>15</v>
      </c>
      <c r="E176" s="26" t="s">
        <v>31</v>
      </c>
      <c r="F176" s="28">
        <v>16018.31</v>
      </c>
      <c r="G176" s="33" t="s">
        <v>34</v>
      </c>
    </row>
    <row r="177" spans="1:7" x14ac:dyDescent="0.3">
      <c r="A177" s="32" t="s">
        <v>217</v>
      </c>
      <c r="B177" s="27">
        <v>45324</v>
      </c>
      <c r="C177" s="26" t="s">
        <v>19</v>
      </c>
      <c r="D177" s="26" t="s">
        <v>14</v>
      </c>
      <c r="E177" s="26" t="s">
        <v>46</v>
      </c>
      <c r="F177" s="28">
        <v>36778.1</v>
      </c>
      <c r="G177" s="33" t="s">
        <v>35</v>
      </c>
    </row>
    <row r="178" spans="1:7" x14ac:dyDescent="0.3">
      <c r="A178" s="32" t="s">
        <v>218</v>
      </c>
      <c r="B178" s="27">
        <v>45324</v>
      </c>
      <c r="C178" s="26" t="s">
        <v>19</v>
      </c>
      <c r="D178" s="26" t="s">
        <v>15</v>
      </c>
      <c r="E178" s="26" t="s">
        <v>31</v>
      </c>
      <c r="F178" s="28">
        <v>17712.099999999999</v>
      </c>
      <c r="G178" s="33" t="s">
        <v>35</v>
      </c>
    </row>
    <row r="179" spans="1:7" x14ac:dyDescent="0.3">
      <c r="A179" s="32" t="s">
        <v>219</v>
      </c>
      <c r="B179" s="27">
        <v>45324</v>
      </c>
      <c r="C179" s="26" t="s">
        <v>19</v>
      </c>
      <c r="D179" s="26" t="s">
        <v>15</v>
      </c>
      <c r="E179" s="26" t="s">
        <v>31</v>
      </c>
      <c r="F179" s="28">
        <v>13446.35</v>
      </c>
      <c r="G179" s="33" t="s">
        <v>34</v>
      </c>
    </row>
    <row r="180" spans="1:7" x14ac:dyDescent="0.3">
      <c r="A180" s="32" t="s">
        <v>220</v>
      </c>
      <c r="B180" s="27">
        <v>45324</v>
      </c>
      <c r="C180" s="26" t="s">
        <v>19</v>
      </c>
      <c r="D180" s="26" t="s">
        <v>15</v>
      </c>
      <c r="E180" s="26" t="s">
        <v>31</v>
      </c>
      <c r="F180" s="28">
        <v>15412.61</v>
      </c>
      <c r="G180" s="33" t="s">
        <v>34</v>
      </c>
    </row>
    <row r="181" spans="1:7" x14ac:dyDescent="0.3">
      <c r="A181" s="32" t="s">
        <v>221</v>
      </c>
      <c r="B181" s="27">
        <v>45324</v>
      </c>
      <c r="C181" s="26" t="s">
        <v>19</v>
      </c>
      <c r="D181" s="26" t="s">
        <v>14</v>
      </c>
      <c r="E181" s="26" t="s">
        <v>46</v>
      </c>
      <c r="F181" s="28">
        <v>26253.19</v>
      </c>
      <c r="G181" s="33" t="s">
        <v>34</v>
      </c>
    </row>
    <row r="182" spans="1:7" x14ac:dyDescent="0.3">
      <c r="A182" s="32" t="s">
        <v>222</v>
      </c>
      <c r="B182" s="27">
        <v>45324</v>
      </c>
      <c r="C182" s="26" t="s">
        <v>19</v>
      </c>
      <c r="D182" s="26" t="s">
        <v>14</v>
      </c>
      <c r="E182" s="26" t="s">
        <v>46</v>
      </c>
      <c r="F182" s="28">
        <v>54653.32</v>
      </c>
      <c r="G182" s="33" t="s">
        <v>36</v>
      </c>
    </row>
    <row r="183" spans="1:7" x14ac:dyDescent="0.3">
      <c r="A183" s="32" t="s">
        <v>223</v>
      </c>
      <c r="B183" s="27">
        <v>45324</v>
      </c>
      <c r="C183" s="26" t="s">
        <v>19</v>
      </c>
      <c r="D183" s="26" t="s">
        <v>14</v>
      </c>
      <c r="E183" s="26" t="s">
        <v>46</v>
      </c>
      <c r="F183" s="28">
        <v>42169.93</v>
      </c>
      <c r="G183" s="33" t="s">
        <v>34</v>
      </c>
    </row>
    <row r="184" spans="1:7" x14ac:dyDescent="0.3">
      <c r="A184" s="32" t="s">
        <v>224</v>
      </c>
      <c r="B184" s="27">
        <v>45325</v>
      </c>
      <c r="C184" s="26" t="s">
        <v>19</v>
      </c>
      <c r="D184" s="26" t="s">
        <v>15</v>
      </c>
      <c r="E184" s="26" t="s">
        <v>27</v>
      </c>
      <c r="F184" s="28">
        <v>17337.34</v>
      </c>
      <c r="G184" s="33" t="s">
        <v>35</v>
      </c>
    </row>
    <row r="185" spans="1:7" x14ac:dyDescent="0.3">
      <c r="A185" s="32" t="s">
        <v>225</v>
      </c>
      <c r="B185" s="27">
        <v>45325</v>
      </c>
      <c r="C185" s="26" t="s">
        <v>19</v>
      </c>
      <c r="D185" s="26" t="s">
        <v>15</v>
      </c>
      <c r="E185" s="26" t="s">
        <v>28</v>
      </c>
      <c r="F185" s="28">
        <v>22674.9</v>
      </c>
      <c r="G185" s="33" t="s">
        <v>34</v>
      </c>
    </row>
    <row r="186" spans="1:7" x14ac:dyDescent="0.3">
      <c r="A186" s="32" t="s">
        <v>226</v>
      </c>
      <c r="B186" s="27">
        <v>45325</v>
      </c>
      <c r="C186" s="26" t="s">
        <v>19</v>
      </c>
      <c r="D186" s="26" t="s">
        <v>14</v>
      </c>
      <c r="E186" s="26" t="s">
        <v>46</v>
      </c>
      <c r="F186" s="28">
        <v>42567.73</v>
      </c>
      <c r="G186" s="33" t="s">
        <v>34</v>
      </c>
    </row>
    <row r="187" spans="1:7" x14ac:dyDescent="0.3">
      <c r="A187" s="32" t="s">
        <v>227</v>
      </c>
      <c r="B187" s="27">
        <v>45325</v>
      </c>
      <c r="C187" s="26" t="s">
        <v>19</v>
      </c>
      <c r="D187" s="26" t="s">
        <v>15</v>
      </c>
      <c r="E187" s="26" t="s">
        <v>30</v>
      </c>
      <c r="F187" s="28">
        <v>8615.5300000000007</v>
      </c>
      <c r="G187" s="33" t="s">
        <v>34</v>
      </c>
    </row>
    <row r="188" spans="1:7" x14ac:dyDescent="0.3">
      <c r="A188" s="32" t="s">
        <v>228</v>
      </c>
      <c r="B188" s="27">
        <v>45326</v>
      </c>
      <c r="C188" s="26" t="s">
        <v>19</v>
      </c>
      <c r="D188" s="26" t="s">
        <v>15</v>
      </c>
      <c r="E188" s="26" t="s">
        <v>29</v>
      </c>
      <c r="F188" s="28">
        <v>14571.76</v>
      </c>
      <c r="G188" s="33" t="s">
        <v>34</v>
      </c>
    </row>
    <row r="189" spans="1:7" x14ac:dyDescent="0.3">
      <c r="A189" s="32" t="s">
        <v>229</v>
      </c>
      <c r="B189" s="27">
        <v>45326</v>
      </c>
      <c r="C189" s="26" t="s">
        <v>19</v>
      </c>
      <c r="D189" s="26" t="s">
        <v>15</v>
      </c>
      <c r="E189" s="26" t="s">
        <v>27</v>
      </c>
      <c r="F189" s="28">
        <v>3698.82</v>
      </c>
      <c r="G189" s="33" t="s">
        <v>34</v>
      </c>
    </row>
    <row r="190" spans="1:7" x14ac:dyDescent="0.3">
      <c r="A190" s="32" t="s">
        <v>230</v>
      </c>
      <c r="B190" s="27">
        <v>45326</v>
      </c>
      <c r="C190" s="26" t="s">
        <v>19</v>
      </c>
      <c r="D190" s="26" t="s">
        <v>15</v>
      </c>
      <c r="E190" s="26" t="s">
        <v>30</v>
      </c>
      <c r="F190" s="28">
        <v>23740.42</v>
      </c>
      <c r="G190" s="33" t="s">
        <v>35</v>
      </c>
    </row>
    <row r="191" spans="1:7" x14ac:dyDescent="0.3">
      <c r="A191" s="32" t="s">
        <v>231</v>
      </c>
      <c r="B191" s="27">
        <v>45327</v>
      </c>
      <c r="C191" s="26" t="s">
        <v>19</v>
      </c>
      <c r="D191" s="26" t="s">
        <v>14</v>
      </c>
      <c r="E191" s="26" t="s">
        <v>46</v>
      </c>
      <c r="F191" s="28">
        <v>79135.62</v>
      </c>
      <c r="G191" s="33" t="s">
        <v>34</v>
      </c>
    </row>
    <row r="192" spans="1:7" x14ac:dyDescent="0.3">
      <c r="A192" s="32" t="s">
        <v>232</v>
      </c>
      <c r="B192" s="27">
        <v>45327</v>
      </c>
      <c r="C192" s="26" t="s">
        <v>19</v>
      </c>
      <c r="D192" s="26" t="s">
        <v>14</v>
      </c>
      <c r="E192" s="26" t="s">
        <v>46</v>
      </c>
      <c r="F192" s="28">
        <v>30940.799999999999</v>
      </c>
      <c r="G192" s="33" t="s">
        <v>34</v>
      </c>
    </row>
    <row r="193" spans="1:7" x14ac:dyDescent="0.3">
      <c r="A193" s="32" t="s">
        <v>233</v>
      </c>
      <c r="B193" s="27">
        <v>45327</v>
      </c>
      <c r="C193" s="26" t="s">
        <v>19</v>
      </c>
      <c r="D193" s="26" t="s">
        <v>15</v>
      </c>
      <c r="E193" s="26" t="s">
        <v>27</v>
      </c>
      <c r="F193" s="28">
        <v>24126.67</v>
      </c>
      <c r="G193" s="33" t="s">
        <v>34</v>
      </c>
    </row>
    <row r="194" spans="1:7" x14ac:dyDescent="0.3">
      <c r="A194" s="32" t="s">
        <v>234</v>
      </c>
      <c r="B194" s="27">
        <v>45327</v>
      </c>
      <c r="C194" s="26" t="s">
        <v>19</v>
      </c>
      <c r="D194" s="26" t="s">
        <v>15</v>
      </c>
      <c r="E194" s="26" t="s">
        <v>27</v>
      </c>
      <c r="F194" s="28">
        <v>17877.21</v>
      </c>
      <c r="G194" s="33" t="s">
        <v>36</v>
      </c>
    </row>
    <row r="195" spans="1:7" x14ac:dyDescent="0.3">
      <c r="A195" s="32" t="s">
        <v>235</v>
      </c>
      <c r="B195" s="27">
        <v>45327</v>
      </c>
      <c r="C195" s="26" t="s">
        <v>19</v>
      </c>
      <c r="D195" s="26" t="s">
        <v>15</v>
      </c>
      <c r="E195" s="26" t="s">
        <v>28</v>
      </c>
      <c r="F195" s="28">
        <v>12507.22</v>
      </c>
      <c r="G195" s="33" t="s">
        <v>35</v>
      </c>
    </row>
    <row r="196" spans="1:7" x14ac:dyDescent="0.3">
      <c r="A196" s="32" t="s">
        <v>236</v>
      </c>
      <c r="B196" s="27">
        <v>45328</v>
      </c>
      <c r="C196" s="26" t="s">
        <v>19</v>
      </c>
      <c r="D196" s="26" t="s">
        <v>14</v>
      </c>
      <c r="E196" s="26" t="s">
        <v>46</v>
      </c>
      <c r="F196" s="28">
        <v>31148.52</v>
      </c>
      <c r="G196" s="33" t="s">
        <v>34</v>
      </c>
    </row>
    <row r="197" spans="1:7" x14ac:dyDescent="0.3">
      <c r="A197" s="32" t="s">
        <v>237</v>
      </c>
      <c r="B197" s="27">
        <v>45329</v>
      </c>
      <c r="C197" s="26" t="s">
        <v>19</v>
      </c>
      <c r="D197" s="26" t="s">
        <v>14</v>
      </c>
      <c r="E197" s="26" t="s">
        <v>46</v>
      </c>
      <c r="F197" s="28">
        <v>79956.149999999994</v>
      </c>
      <c r="G197" s="33" t="s">
        <v>36</v>
      </c>
    </row>
    <row r="198" spans="1:7" x14ac:dyDescent="0.3">
      <c r="A198" s="32" t="s">
        <v>238</v>
      </c>
      <c r="B198" s="27">
        <v>45329</v>
      </c>
      <c r="C198" s="26" t="s">
        <v>19</v>
      </c>
      <c r="D198" s="26" t="s">
        <v>15</v>
      </c>
      <c r="E198" s="26" t="s">
        <v>28</v>
      </c>
      <c r="F198" s="28">
        <v>21626.720000000001</v>
      </c>
      <c r="G198" s="33" t="s">
        <v>34</v>
      </c>
    </row>
    <row r="199" spans="1:7" x14ac:dyDescent="0.3">
      <c r="A199" s="32" t="s">
        <v>239</v>
      </c>
      <c r="B199" s="27">
        <v>45329</v>
      </c>
      <c r="C199" s="26" t="s">
        <v>19</v>
      </c>
      <c r="D199" s="26" t="s">
        <v>15</v>
      </c>
      <c r="E199" s="26" t="s">
        <v>28</v>
      </c>
      <c r="F199" s="28">
        <v>4453.03</v>
      </c>
      <c r="G199" s="33" t="s">
        <v>34</v>
      </c>
    </row>
    <row r="200" spans="1:7" x14ac:dyDescent="0.3">
      <c r="A200" s="32" t="s">
        <v>240</v>
      </c>
      <c r="B200" s="27">
        <v>45330</v>
      </c>
      <c r="C200" s="26" t="s">
        <v>19</v>
      </c>
      <c r="D200" s="26" t="s">
        <v>15</v>
      </c>
      <c r="E200" s="26" t="s">
        <v>27</v>
      </c>
      <c r="F200" s="28">
        <v>10771.38</v>
      </c>
      <c r="G200" s="33" t="s">
        <v>35</v>
      </c>
    </row>
    <row r="201" spans="1:7" x14ac:dyDescent="0.3">
      <c r="A201" s="32" t="s">
        <v>241</v>
      </c>
      <c r="B201" s="27">
        <v>45330</v>
      </c>
      <c r="C201" s="26" t="s">
        <v>19</v>
      </c>
      <c r="D201" s="26" t="s">
        <v>15</v>
      </c>
      <c r="E201" s="26" t="s">
        <v>31</v>
      </c>
      <c r="F201" s="28">
        <v>10256.06</v>
      </c>
      <c r="G201" s="33" t="s">
        <v>35</v>
      </c>
    </row>
    <row r="202" spans="1:7" x14ac:dyDescent="0.3">
      <c r="A202" s="32" t="s">
        <v>242</v>
      </c>
      <c r="B202" s="27">
        <v>45330</v>
      </c>
      <c r="C202" s="26" t="s">
        <v>19</v>
      </c>
      <c r="D202" s="26" t="s">
        <v>15</v>
      </c>
      <c r="E202" s="26" t="s">
        <v>27</v>
      </c>
      <c r="F202" s="28">
        <v>8805.06</v>
      </c>
      <c r="G202" s="33" t="s">
        <v>35</v>
      </c>
    </row>
    <row r="203" spans="1:7" x14ac:dyDescent="0.3">
      <c r="A203" s="32" t="s">
        <v>243</v>
      </c>
      <c r="B203" s="27">
        <v>45330</v>
      </c>
      <c r="C203" s="26" t="s">
        <v>19</v>
      </c>
      <c r="D203" s="26" t="s">
        <v>14</v>
      </c>
      <c r="E203" s="26" t="s">
        <v>46</v>
      </c>
      <c r="F203" s="28">
        <v>58949.54</v>
      </c>
      <c r="G203" s="33" t="s">
        <v>34</v>
      </c>
    </row>
    <row r="204" spans="1:7" x14ac:dyDescent="0.3">
      <c r="A204" s="32" t="s">
        <v>244</v>
      </c>
      <c r="B204" s="27">
        <v>45331</v>
      </c>
      <c r="C204" s="26" t="s">
        <v>19</v>
      </c>
      <c r="D204" s="26" t="s">
        <v>14</v>
      </c>
      <c r="E204" s="26" t="s">
        <v>46</v>
      </c>
      <c r="F204" s="28">
        <v>11535.77</v>
      </c>
      <c r="G204" s="33" t="s">
        <v>34</v>
      </c>
    </row>
    <row r="205" spans="1:7" x14ac:dyDescent="0.3">
      <c r="A205" s="32" t="s">
        <v>245</v>
      </c>
      <c r="B205" s="27">
        <v>45331</v>
      </c>
      <c r="C205" s="26" t="s">
        <v>19</v>
      </c>
      <c r="D205" s="26" t="s">
        <v>15</v>
      </c>
      <c r="E205" s="26" t="s">
        <v>27</v>
      </c>
      <c r="F205" s="28">
        <v>21090.86</v>
      </c>
      <c r="G205" s="33" t="s">
        <v>36</v>
      </c>
    </row>
    <row r="206" spans="1:7" x14ac:dyDescent="0.3">
      <c r="A206" s="32" t="s">
        <v>246</v>
      </c>
      <c r="B206" s="27">
        <v>45331</v>
      </c>
      <c r="C206" s="26" t="s">
        <v>19</v>
      </c>
      <c r="D206" s="26" t="s">
        <v>15</v>
      </c>
      <c r="E206" s="26" t="s">
        <v>31</v>
      </c>
      <c r="F206" s="28">
        <v>11103.53</v>
      </c>
      <c r="G206" s="33" t="s">
        <v>34</v>
      </c>
    </row>
    <row r="207" spans="1:7" x14ac:dyDescent="0.3">
      <c r="A207" s="32" t="s">
        <v>247</v>
      </c>
      <c r="B207" s="27">
        <v>45331</v>
      </c>
      <c r="C207" s="26" t="s">
        <v>19</v>
      </c>
      <c r="D207" s="26" t="s">
        <v>14</v>
      </c>
      <c r="E207" s="26" t="s">
        <v>46</v>
      </c>
      <c r="F207" s="28">
        <v>10566.86</v>
      </c>
      <c r="G207" s="33" t="s">
        <v>34</v>
      </c>
    </row>
    <row r="208" spans="1:7" x14ac:dyDescent="0.3">
      <c r="A208" s="32" t="s">
        <v>248</v>
      </c>
      <c r="B208" s="27">
        <v>45331</v>
      </c>
      <c r="C208" s="26" t="s">
        <v>19</v>
      </c>
      <c r="D208" s="26" t="s">
        <v>14</v>
      </c>
      <c r="E208" s="26" t="s">
        <v>46</v>
      </c>
      <c r="F208" s="28">
        <v>70554.720000000001</v>
      </c>
      <c r="G208" s="33" t="s">
        <v>34</v>
      </c>
    </row>
    <row r="209" spans="1:7" x14ac:dyDescent="0.3">
      <c r="A209" s="32" t="s">
        <v>249</v>
      </c>
      <c r="B209" s="27">
        <v>45331</v>
      </c>
      <c r="C209" s="26" t="s">
        <v>19</v>
      </c>
      <c r="D209" s="26" t="s">
        <v>15</v>
      </c>
      <c r="E209" s="26" t="s">
        <v>31</v>
      </c>
      <c r="F209" s="28">
        <v>19901.169999999998</v>
      </c>
      <c r="G209" s="33" t="s">
        <v>34</v>
      </c>
    </row>
    <row r="210" spans="1:7" x14ac:dyDescent="0.3">
      <c r="A210" s="32" t="s">
        <v>250</v>
      </c>
      <c r="B210" s="27">
        <v>45331</v>
      </c>
      <c r="C210" s="26" t="s">
        <v>19</v>
      </c>
      <c r="D210" s="26" t="s">
        <v>14</v>
      </c>
      <c r="E210" s="26" t="s">
        <v>46</v>
      </c>
      <c r="F210" s="28">
        <v>78152.2</v>
      </c>
      <c r="G210" s="33" t="s">
        <v>34</v>
      </c>
    </row>
    <row r="211" spans="1:7" x14ac:dyDescent="0.3">
      <c r="A211" s="32" t="s">
        <v>251</v>
      </c>
      <c r="B211" s="27">
        <v>45331</v>
      </c>
      <c r="C211" s="26" t="s">
        <v>19</v>
      </c>
      <c r="D211" s="26" t="s">
        <v>14</v>
      </c>
      <c r="E211" s="26" t="s">
        <v>46</v>
      </c>
      <c r="F211" s="28">
        <v>73743.19</v>
      </c>
      <c r="G211" s="33" t="s">
        <v>36</v>
      </c>
    </row>
    <row r="212" spans="1:7" x14ac:dyDescent="0.3">
      <c r="A212" s="32" t="s">
        <v>252</v>
      </c>
      <c r="B212" s="27">
        <v>45331</v>
      </c>
      <c r="C212" s="26" t="s">
        <v>19</v>
      </c>
      <c r="D212" s="26" t="s">
        <v>15</v>
      </c>
      <c r="E212" s="26" t="s">
        <v>31</v>
      </c>
      <c r="F212" s="28">
        <v>19138.96</v>
      </c>
      <c r="G212" s="33" t="s">
        <v>34</v>
      </c>
    </row>
    <row r="213" spans="1:7" x14ac:dyDescent="0.3">
      <c r="A213" s="32" t="s">
        <v>253</v>
      </c>
      <c r="B213" s="27">
        <v>45332</v>
      </c>
      <c r="C213" s="26" t="s">
        <v>19</v>
      </c>
      <c r="D213" s="26" t="s">
        <v>15</v>
      </c>
      <c r="E213" s="26" t="s">
        <v>30</v>
      </c>
      <c r="F213" s="28">
        <v>21155.29</v>
      </c>
      <c r="G213" s="33" t="s">
        <v>34</v>
      </c>
    </row>
    <row r="214" spans="1:7" x14ac:dyDescent="0.3">
      <c r="A214" s="32" t="s">
        <v>254</v>
      </c>
      <c r="B214" s="27">
        <v>45332</v>
      </c>
      <c r="C214" s="26" t="s">
        <v>19</v>
      </c>
      <c r="D214" s="26" t="s">
        <v>15</v>
      </c>
      <c r="E214" s="26" t="s">
        <v>29</v>
      </c>
      <c r="F214" s="28">
        <v>22767.5</v>
      </c>
      <c r="G214" s="33" t="s">
        <v>34</v>
      </c>
    </row>
    <row r="215" spans="1:7" x14ac:dyDescent="0.3">
      <c r="A215" s="32" t="s">
        <v>255</v>
      </c>
      <c r="B215" s="27">
        <v>45332</v>
      </c>
      <c r="C215" s="26" t="s">
        <v>19</v>
      </c>
      <c r="D215" s="26" t="s">
        <v>14</v>
      </c>
      <c r="E215" s="26" t="s">
        <v>46</v>
      </c>
      <c r="F215" s="28">
        <v>64301.87</v>
      </c>
      <c r="G215" s="33" t="s">
        <v>35</v>
      </c>
    </row>
    <row r="216" spans="1:7" x14ac:dyDescent="0.3">
      <c r="A216" s="32" t="s">
        <v>256</v>
      </c>
      <c r="B216" s="27">
        <v>45332</v>
      </c>
      <c r="C216" s="26" t="s">
        <v>19</v>
      </c>
      <c r="D216" s="26" t="s">
        <v>15</v>
      </c>
      <c r="E216" s="26" t="s">
        <v>28</v>
      </c>
      <c r="F216" s="28">
        <v>7292.72</v>
      </c>
      <c r="G216" s="33" t="s">
        <v>34</v>
      </c>
    </row>
    <row r="217" spans="1:7" x14ac:dyDescent="0.3">
      <c r="A217" s="32" t="s">
        <v>257</v>
      </c>
      <c r="B217" s="27">
        <v>45332</v>
      </c>
      <c r="C217" s="26" t="s">
        <v>19</v>
      </c>
      <c r="D217" s="26" t="s">
        <v>14</v>
      </c>
      <c r="E217" s="26" t="s">
        <v>46</v>
      </c>
      <c r="F217" s="28">
        <v>66135.240000000005</v>
      </c>
      <c r="G217" s="33" t="s">
        <v>34</v>
      </c>
    </row>
    <row r="218" spans="1:7" x14ac:dyDescent="0.3">
      <c r="A218" s="32" t="s">
        <v>258</v>
      </c>
      <c r="B218" s="27">
        <v>45332</v>
      </c>
      <c r="C218" s="26" t="s">
        <v>19</v>
      </c>
      <c r="D218" s="26" t="s">
        <v>14</v>
      </c>
      <c r="E218" s="26" t="s">
        <v>46</v>
      </c>
      <c r="F218" s="28">
        <v>25330.32</v>
      </c>
      <c r="G218" s="33" t="s">
        <v>35</v>
      </c>
    </row>
    <row r="219" spans="1:7" x14ac:dyDescent="0.3">
      <c r="A219" s="32" t="s">
        <v>259</v>
      </c>
      <c r="B219" s="27">
        <v>45332</v>
      </c>
      <c r="C219" s="26" t="s">
        <v>19</v>
      </c>
      <c r="D219" s="26" t="s">
        <v>15</v>
      </c>
      <c r="E219" s="26" t="s">
        <v>27</v>
      </c>
      <c r="F219" s="28">
        <v>6373.04</v>
      </c>
      <c r="G219" s="33" t="s">
        <v>35</v>
      </c>
    </row>
    <row r="220" spans="1:7" x14ac:dyDescent="0.3">
      <c r="A220" s="32" t="s">
        <v>260</v>
      </c>
      <c r="B220" s="27">
        <v>45332</v>
      </c>
      <c r="C220" s="26" t="s">
        <v>19</v>
      </c>
      <c r="D220" s="26" t="s">
        <v>15</v>
      </c>
      <c r="E220" s="26" t="s">
        <v>28</v>
      </c>
      <c r="F220" s="28">
        <v>7764.42</v>
      </c>
      <c r="G220" s="33" t="s">
        <v>35</v>
      </c>
    </row>
    <row r="221" spans="1:7" x14ac:dyDescent="0.3">
      <c r="A221" s="32" t="s">
        <v>261</v>
      </c>
      <c r="B221" s="27">
        <v>45332</v>
      </c>
      <c r="C221" s="26" t="s">
        <v>19</v>
      </c>
      <c r="D221" s="26" t="s">
        <v>15</v>
      </c>
      <c r="E221" s="26" t="s">
        <v>28</v>
      </c>
      <c r="F221" s="28">
        <v>19378.28</v>
      </c>
      <c r="G221" s="33" t="s">
        <v>36</v>
      </c>
    </row>
    <row r="222" spans="1:7" x14ac:dyDescent="0.3">
      <c r="A222" s="32" t="s">
        <v>262</v>
      </c>
      <c r="B222" s="27">
        <v>45333</v>
      </c>
      <c r="C222" s="26" t="s">
        <v>19</v>
      </c>
      <c r="D222" s="26" t="s">
        <v>15</v>
      </c>
      <c r="E222" s="26" t="s">
        <v>27</v>
      </c>
      <c r="F222" s="28">
        <v>19651.830000000002</v>
      </c>
      <c r="G222" s="33" t="s">
        <v>34</v>
      </c>
    </row>
    <row r="223" spans="1:7" x14ac:dyDescent="0.3">
      <c r="A223" s="32" t="s">
        <v>263</v>
      </c>
      <c r="B223" s="27">
        <v>45333</v>
      </c>
      <c r="C223" s="26" t="s">
        <v>19</v>
      </c>
      <c r="D223" s="26" t="s">
        <v>15</v>
      </c>
      <c r="E223" s="26" t="s">
        <v>29</v>
      </c>
      <c r="F223" s="28">
        <v>17659.669999999998</v>
      </c>
      <c r="G223" s="33" t="s">
        <v>35</v>
      </c>
    </row>
    <row r="224" spans="1:7" x14ac:dyDescent="0.3">
      <c r="A224" s="32" t="s">
        <v>264</v>
      </c>
      <c r="B224" s="27">
        <v>45333</v>
      </c>
      <c r="C224" s="26" t="s">
        <v>19</v>
      </c>
      <c r="D224" s="26" t="s">
        <v>14</v>
      </c>
      <c r="E224" s="26" t="s">
        <v>46</v>
      </c>
      <c r="F224" s="28">
        <v>19574.55</v>
      </c>
      <c r="G224" s="33" t="s">
        <v>34</v>
      </c>
    </row>
    <row r="225" spans="1:7" x14ac:dyDescent="0.3">
      <c r="A225" s="32" t="s">
        <v>265</v>
      </c>
      <c r="B225" s="27">
        <v>45333</v>
      </c>
      <c r="C225" s="26" t="s">
        <v>19</v>
      </c>
      <c r="D225" s="26" t="s">
        <v>15</v>
      </c>
      <c r="E225" s="26" t="s">
        <v>28</v>
      </c>
      <c r="F225" s="28">
        <v>4234.7700000000004</v>
      </c>
      <c r="G225" s="33" t="s">
        <v>35</v>
      </c>
    </row>
    <row r="226" spans="1:7" x14ac:dyDescent="0.3">
      <c r="A226" s="32" t="s">
        <v>266</v>
      </c>
      <c r="B226" s="27">
        <v>45333</v>
      </c>
      <c r="C226" s="26" t="s">
        <v>19</v>
      </c>
      <c r="D226" s="26" t="s">
        <v>14</v>
      </c>
      <c r="E226" s="26" t="s">
        <v>46</v>
      </c>
      <c r="F226" s="28">
        <v>53922.07</v>
      </c>
      <c r="G226" s="33" t="s">
        <v>35</v>
      </c>
    </row>
    <row r="227" spans="1:7" x14ac:dyDescent="0.3">
      <c r="A227" s="32" t="s">
        <v>267</v>
      </c>
      <c r="B227" s="27">
        <v>45333</v>
      </c>
      <c r="C227" s="26" t="s">
        <v>19</v>
      </c>
      <c r="D227" s="26" t="s">
        <v>14</v>
      </c>
      <c r="E227" s="26" t="s">
        <v>46</v>
      </c>
      <c r="F227" s="28">
        <v>12759.58</v>
      </c>
      <c r="G227" s="33" t="s">
        <v>35</v>
      </c>
    </row>
    <row r="228" spans="1:7" x14ac:dyDescent="0.3">
      <c r="A228" s="32" t="s">
        <v>268</v>
      </c>
      <c r="B228" s="27">
        <v>45334</v>
      </c>
      <c r="C228" s="26" t="s">
        <v>19</v>
      </c>
      <c r="D228" s="26" t="s">
        <v>15</v>
      </c>
      <c r="E228" s="26" t="s">
        <v>27</v>
      </c>
      <c r="F228" s="28">
        <v>20138.04</v>
      </c>
      <c r="G228" s="33" t="s">
        <v>35</v>
      </c>
    </row>
    <row r="229" spans="1:7" x14ac:dyDescent="0.3">
      <c r="A229" s="32" t="s">
        <v>269</v>
      </c>
      <c r="B229" s="27">
        <v>45334</v>
      </c>
      <c r="C229" s="26" t="s">
        <v>19</v>
      </c>
      <c r="D229" s="26" t="s">
        <v>15</v>
      </c>
      <c r="E229" s="26" t="s">
        <v>27</v>
      </c>
      <c r="F229" s="28">
        <v>2767.38</v>
      </c>
      <c r="G229" s="33" t="s">
        <v>34</v>
      </c>
    </row>
    <row r="230" spans="1:7" x14ac:dyDescent="0.3">
      <c r="A230" s="32" t="s">
        <v>270</v>
      </c>
      <c r="B230" s="27">
        <v>45334</v>
      </c>
      <c r="C230" s="26" t="s">
        <v>19</v>
      </c>
      <c r="D230" s="26" t="s">
        <v>15</v>
      </c>
      <c r="E230" s="26" t="s">
        <v>29</v>
      </c>
      <c r="F230" s="28">
        <v>10391.81</v>
      </c>
      <c r="G230" s="33" t="s">
        <v>34</v>
      </c>
    </row>
    <row r="231" spans="1:7" x14ac:dyDescent="0.3">
      <c r="A231" s="32" t="s">
        <v>271</v>
      </c>
      <c r="B231" s="27">
        <v>45334</v>
      </c>
      <c r="C231" s="26" t="s">
        <v>19</v>
      </c>
      <c r="D231" s="26" t="s">
        <v>15</v>
      </c>
      <c r="E231" s="26" t="s">
        <v>27</v>
      </c>
      <c r="F231" s="28">
        <v>5022.47</v>
      </c>
      <c r="G231" s="33" t="s">
        <v>36</v>
      </c>
    </row>
    <row r="232" spans="1:7" x14ac:dyDescent="0.3">
      <c r="A232" s="32" t="s">
        <v>272</v>
      </c>
      <c r="B232" s="27">
        <v>45334</v>
      </c>
      <c r="C232" s="26" t="s">
        <v>19</v>
      </c>
      <c r="D232" s="26" t="s">
        <v>15</v>
      </c>
      <c r="E232" s="26" t="s">
        <v>31</v>
      </c>
      <c r="F232" s="28">
        <v>22921.439999999999</v>
      </c>
      <c r="G232" s="33" t="s">
        <v>36</v>
      </c>
    </row>
    <row r="233" spans="1:7" x14ac:dyDescent="0.3">
      <c r="A233" s="32" t="s">
        <v>273</v>
      </c>
      <c r="B233" s="27">
        <v>45335</v>
      </c>
      <c r="C233" s="26" t="s">
        <v>19</v>
      </c>
      <c r="D233" s="26" t="s">
        <v>15</v>
      </c>
      <c r="E233" s="26" t="s">
        <v>28</v>
      </c>
      <c r="F233" s="28">
        <v>9514.5400000000009</v>
      </c>
      <c r="G233" s="33" t="s">
        <v>34</v>
      </c>
    </row>
    <row r="234" spans="1:7" x14ac:dyDescent="0.3">
      <c r="A234" s="32" t="s">
        <v>274</v>
      </c>
      <c r="B234" s="27">
        <v>45335</v>
      </c>
      <c r="C234" s="26" t="s">
        <v>19</v>
      </c>
      <c r="D234" s="26" t="s">
        <v>15</v>
      </c>
      <c r="E234" s="26" t="s">
        <v>28</v>
      </c>
      <c r="F234" s="28">
        <v>11556.57</v>
      </c>
      <c r="G234" s="33" t="s">
        <v>34</v>
      </c>
    </row>
    <row r="235" spans="1:7" x14ac:dyDescent="0.3">
      <c r="A235" s="32" t="s">
        <v>275</v>
      </c>
      <c r="B235" s="27">
        <v>45336</v>
      </c>
      <c r="C235" s="26" t="s">
        <v>19</v>
      </c>
      <c r="D235" s="26" t="s">
        <v>15</v>
      </c>
      <c r="E235" s="26" t="s">
        <v>28</v>
      </c>
      <c r="F235" s="28">
        <v>6618.28</v>
      </c>
      <c r="G235" s="33" t="s">
        <v>34</v>
      </c>
    </row>
    <row r="236" spans="1:7" x14ac:dyDescent="0.3">
      <c r="A236" s="32" t="s">
        <v>276</v>
      </c>
      <c r="B236" s="27">
        <v>45336</v>
      </c>
      <c r="C236" s="26" t="s">
        <v>19</v>
      </c>
      <c r="D236" s="26" t="s">
        <v>14</v>
      </c>
      <c r="E236" s="26" t="s">
        <v>46</v>
      </c>
      <c r="F236" s="28">
        <v>65055.9</v>
      </c>
      <c r="G236" s="33" t="s">
        <v>35</v>
      </c>
    </row>
    <row r="237" spans="1:7" x14ac:dyDescent="0.3">
      <c r="A237" s="32" t="s">
        <v>277</v>
      </c>
      <c r="B237" s="27">
        <v>45337</v>
      </c>
      <c r="C237" s="26" t="s">
        <v>19</v>
      </c>
      <c r="D237" s="26" t="s">
        <v>15</v>
      </c>
      <c r="E237" s="26" t="s">
        <v>30</v>
      </c>
      <c r="F237" s="28">
        <v>22158.59</v>
      </c>
      <c r="G237" s="33" t="s">
        <v>35</v>
      </c>
    </row>
    <row r="238" spans="1:7" x14ac:dyDescent="0.3">
      <c r="A238" s="32" t="s">
        <v>278</v>
      </c>
      <c r="B238" s="27">
        <v>45337</v>
      </c>
      <c r="C238" s="26" t="s">
        <v>19</v>
      </c>
      <c r="D238" s="26" t="s">
        <v>14</v>
      </c>
      <c r="E238" s="26" t="s">
        <v>46</v>
      </c>
      <c r="F238" s="28">
        <v>35610.03</v>
      </c>
      <c r="G238" s="33" t="s">
        <v>34</v>
      </c>
    </row>
    <row r="239" spans="1:7" x14ac:dyDescent="0.3">
      <c r="A239" s="32" t="s">
        <v>279</v>
      </c>
      <c r="B239" s="27">
        <v>45337</v>
      </c>
      <c r="C239" s="26" t="s">
        <v>19</v>
      </c>
      <c r="D239" s="26" t="s">
        <v>14</v>
      </c>
      <c r="E239" s="26" t="s">
        <v>46</v>
      </c>
      <c r="F239" s="28">
        <v>45125.63</v>
      </c>
      <c r="G239" s="33" t="s">
        <v>34</v>
      </c>
    </row>
    <row r="240" spans="1:7" x14ac:dyDescent="0.3">
      <c r="A240" s="32" t="s">
        <v>280</v>
      </c>
      <c r="B240" s="27">
        <v>45337</v>
      </c>
      <c r="C240" s="26" t="s">
        <v>19</v>
      </c>
      <c r="D240" s="26" t="s">
        <v>15</v>
      </c>
      <c r="E240" s="26" t="s">
        <v>27</v>
      </c>
      <c r="F240" s="28">
        <v>8268.1299999999992</v>
      </c>
      <c r="G240" s="33" t="s">
        <v>35</v>
      </c>
    </row>
    <row r="241" spans="1:7" x14ac:dyDescent="0.3">
      <c r="A241" s="32" t="s">
        <v>281</v>
      </c>
      <c r="B241" s="27">
        <v>45337</v>
      </c>
      <c r="C241" s="26" t="s">
        <v>19</v>
      </c>
      <c r="D241" s="26" t="s">
        <v>14</v>
      </c>
      <c r="E241" s="26" t="s">
        <v>46</v>
      </c>
      <c r="F241" s="28">
        <v>21518.11</v>
      </c>
      <c r="G241" s="33" t="s">
        <v>35</v>
      </c>
    </row>
    <row r="242" spans="1:7" x14ac:dyDescent="0.3">
      <c r="A242" s="32" t="s">
        <v>282</v>
      </c>
      <c r="B242" s="27">
        <v>45337</v>
      </c>
      <c r="C242" s="26" t="s">
        <v>19</v>
      </c>
      <c r="D242" s="26" t="s">
        <v>15</v>
      </c>
      <c r="E242" s="26" t="s">
        <v>29</v>
      </c>
      <c r="F242" s="28">
        <v>23023.13</v>
      </c>
      <c r="G242" s="33" t="s">
        <v>34</v>
      </c>
    </row>
    <row r="243" spans="1:7" x14ac:dyDescent="0.3">
      <c r="A243" s="32" t="s">
        <v>283</v>
      </c>
      <c r="B243" s="27">
        <v>45337</v>
      </c>
      <c r="C243" s="26" t="s">
        <v>19</v>
      </c>
      <c r="D243" s="26" t="s">
        <v>15</v>
      </c>
      <c r="E243" s="26" t="s">
        <v>28</v>
      </c>
      <c r="F243" s="28">
        <v>23716.32</v>
      </c>
      <c r="G243" s="33" t="s">
        <v>34</v>
      </c>
    </row>
    <row r="244" spans="1:7" x14ac:dyDescent="0.3">
      <c r="A244" s="32" t="s">
        <v>284</v>
      </c>
      <c r="B244" s="27">
        <v>45338</v>
      </c>
      <c r="C244" s="26" t="s">
        <v>19</v>
      </c>
      <c r="D244" s="26" t="s">
        <v>15</v>
      </c>
      <c r="E244" s="26" t="s">
        <v>27</v>
      </c>
      <c r="F244" s="28">
        <v>24249.83</v>
      </c>
      <c r="G244" s="33" t="s">
        <v>34</v>
      </c>
    </row>
    <row r="245" spans="1:7" x14ac:dyDescent="0.3">
      <c r="A245" s="32" t="s">
        <v>285</v>
      </c>
      <c r="B245" s="27">
        <v>45338</v>
      </c>
      <c r="C245" s="26" t="s">
        <v>19</v>
      </c>
      <c r="D245" s="26" t="s">
        <v>15</v>
      </c>
      <c r="E245" s="26" t="s">
        <v>31</v>
      </c>
      <c r="F245" s="28">
        <v>8788.25</v>
      </c>
      <c r="G245" s="33" t="s">
        <v>34</v>
      </c>
    </row>
    <row r="246" spans="1:7" x14ac:dyDescent="0.3">
      <c r="A246" s="32" t="s">
        <v>286</v>
      </c>
      <c r="B246" s="27">
        <v>45338</v>
      </c>
      <c r="C246" s="26" t="s">
        <v>19</v>
      </c>
      <c r="D246" s="26" t="s">
        <v>14</v>
      </c>
      <c r="E246" s="26" t="s">
        <v>46</v>
      </c>
      <c r="F246" s="28">
        <v>70927.789999999994</v>
      </c>
      <c r="G246" s="33" t="s">
        <v>34</v>
      </c>
    </row>
    <row r="247" spans="1:7" x14ac:dyDescent="0.3">
      <c r="A247" s="32" t="s">
        <v>287</v>
      </c>
      <c r="B247" s="27">
        <v>45339</v>
      </c>
      <c r="C247" s="26" t="s">
        <v>19</v>
      </c>
      <c r="D247" s="26" t="s">
        <v>15</v>
      </c>
      <c r="E247" s="26" t="s">
        <v>30</v>
      </c>
      <c r="F247" s="28">
        <v>20497.349999999999</v>
      </c>
      <c r="G247" s="33" t="s">
        <v>35</v>
      </c>
    </row>
    <row r="248" spans="1:7" x14ac:dyDescent="0.3">
      <c r="A248" s="32" t="s">
        <v>288</v>
      </c>
      <c r="B248" s="27">
        <v>45339</v>
      </c>
      <c r="C248" s="26" t="s">
        <v>19</v>
      </c>
      <c r="D248" s="26" t="s">
        <v>15</v>
      </c>
      <c r="E248" s="26" t="s">
        <v>29</v>
      </c>
      <c r="F248" s="28">
        <v>12771.62</v>
      </c>
      <c r="G248" s="33" t="s">
        <v>35</v>
      </c>
    </row>
    <row r="249" spans="1:7" x14ac:dyDescent="0.3">
      <c r="A249" s="32" t="s">
        <v>289</v>
      </c>
      <c r="B249" s="27">
        <v>45339</v>
      </c>
      <c r="C249" s="26" t="s">
        <v>19</v>
      </c>
      <c r="D249" s="26" t="s">
        <v>15</v>
      </c>
      <c r="E249" s="26" t="s">
        <v>31</v>
      </c>
      <c r="F249" s="28">
        <v>3731.89</v>
      </c>
      <c r="G249" s="33" t="s">
        <v>34</v>
      </c>
    </row>
    <row r="250" spans="1:7" x14ac:dyDescent="0.3">
      <c r="A250" s="32" t="s">
        <v>290</v>
      </c>
      <c r="B250" s="27">
        <v>45340</v>
      </c>
      <c r="C250" s="26" t="s">
        <v>19</v>
      </c>
      <c r="D250" s="26" t="s">
        <v>15</v>
      </c>
      <c r="E250" s="26" t="s">
        <v>31</v>
      </c>
      <c r="F250" s="28">
        <v>19345.48</v>
      </c>
      <c r="G250" s="33" t="s">
        <v>35</v>
      </c>
    </row>
    <row r="251" spans="1:7" x14ac:dyDescent="0.3">
      <c r="A251" s="32" t="s">
        <v>291</v>
      </c>
      <c r="B251" s="27">
        <v>45340</v>
      </c>
      <c r="C251" s="26" t="s">
        <v>19</v>
      </c>
      <c r="D251" s="26" t="s">
        <v>15</v>
      </c>
      <c r="E251" s="26" t="s">
        <v>29</v>
      </c>
      <c r="F251" s="28">
        <v>7189.14</v>
      </c>
      <c r="G251" s="33" t="s">
        <v>34</v>
      </c>
    </row>
    <row r="252" spans="1:7" x14ac:dyDescent="0.3">
      <c r="A252" s="32" t="s">
        <v>292</v>
      </c>
      <c r="B252" s="27">
        <v>45340</v>
      </c>
      <c r="C252" s="26" t="s">
        <v>19</v>
      </c>
      <c r="D252" s="26" t="s">
        <v>14</v>
      </c>
      <c r="E252" s="26" t="s">
        <v>46</v>
      </c>
      <c r="F252" s="28">
        <v>57342.66</v>
      </c>
      <c r="G252" s="33" t="s">
        <v>34</v>
      </c>
    </row>
    <row r="253" spans="1:7" x14ac:dyDescent="0.3">
      <c r="A253" s="32" t="s">
        <v>293</v>
      </c>
      <c r="B253" s="27">
        <v>45340</v>
      </c>
      <c r="C253" s="26" t="s">
        <v>19</v>
      </c>
      <c r="D253" s="26" t="s">
        <v>15</v>
      </c>
      <c r="E253" s="26" t="s">
        <v>30</v>
      </c>
      <c r="F253" s="28">
        <v>17511.34</v>
      </c>
      <c r="G253" s="33" t="s">
        <v>34</v>
      </c>
    </row>
    <row r="254" spans="1:7" x14ac:dyDescent="0.3">
      <c r="A254" s="32" t="s">
        <v>294</v>
      </c>
      <c r="B254" s="27">
        <v>45340</v>
      </c>
      <c r="C254" s="26" t="s">
        <v>19</v>
      </c>
      <c r="D254" s="26" t="s">
        <v>15</v>
      </c>
      <c r="E254" s="26" t="s">
        <v>29</v>
      </c>
      <c r="F254" s="28">
        <v>11140.46</v>
      </c>
      <c r="G254" s="33" t="s">
        <v>34</v>
      </c>
    </row>
    <row r="255" spans="1:7" x14ac:dyDescent="0.3">
      <c r="A255" s="32" t="s">
        <v>295</v>
      </c>
      <c r="B255" s="27">
        <v>45341</v>
      </c>
      <c r="C255" s="26" t="s">
        <v>19</v>
      </c>
      <c r="D255" s="26" t="s">
        <v>14</v>
      </c>
      <c r="E255" s="26" t="s">
        <v>46</v>
      </c>
      <c r="F255" s="28">
        <v>69202.11</v>
      </c>
      <c r="G255" s="33" t="s">
        <v>35</v>
      </c>
    </row>
    <row r="256" spans="1:7" x14ac:dyDescent="0.3">
      <c r="A256" s="32" t="s">
        <v>296</v>
      </c>
      <c r="B256" s="27">
        <v>45341</v>
      </c>
      <c r="C256" s="26" t="s">
        <v>19</v>
      </c>
      <c r="D256" s="26" t="s">
        <v>14</v>
      </c>
      <c r="E256" s="26" t="s">
        <v>46</v>
      </c>
      <c r="F256" s="28">
        <v>49011.88</v>
      </c>
      <c r="G256" s="33" t="s">
        <v>36</v>
      </c>
    </row>
    <row r="257" spans="1:7" x14ac:dyDescent="0.3">
      <c r="A257" s="32" t="s">
        <v>297</v>
      </c>
      <c r="B257" s="27">
        <v>45341</v>
      </c>
      <c r="C257" s="26" t="s">
        <v>19</v>
      </c>
      <c r="D257" s="26" t="s">
        <v>15</v>
      </c>
      <c r="E257" s="26" t="s">
        <v>29</v>
      </c>
      <c r="F257" s="28">
        <v>4076.97</v>
      </c>
      <c r="G257" s="33" t="s">
        <v>34</v>
      </c>
    </row>
    <row r="258" spans="1:7" x14ac:dyDescent="0.3">
      <c r="A258" s="32" t="s">
        <v>298</v>
      </c>
      <c r="B258" s="27">
        <v>45341</v>
      </c>
      <c r="C258" s="26" t="s">
        <v>19</v>
      </c>
      <c r="D258" s="26" t="s">
        <v>15</v>
      </c>
      <c r="E258" s="26" t="s">
        <v>29</v>
      </c>
      <c r="F258" s="28">
        <v>11075.21</v>
      </c>
      <c r="G258" s="33" t="s">
        <v>34</v>
      </c>
    </row>
    <row r="259" spans="1:7" x14ac:dyDescent="0.3">
      <c r="A259" s="32" t="s">
        <v>299</v>
      </c>
      <c r="B259" s="27">
        <v>45341</v>
      </c>
      <c r="C259" s="26" t="s">
        <v>19</v>
      </c>
      <c r="D259" s="26" t="s">
        <v>15</v>
      </c>
      <c r="E259" s="26" t="s">
        <v>30</v>
      </c>
      <c r="F259" s="28">
        <v>8082.55</v>
      </c>
      <c r="G259" s="33" t="s">
        <v>35</v>
      </c>
    </row>
    <row r="260" spans="1:7" x14ac:dyDescent="0.3">
      <c r="A260" s="32" t="s">
        <v>300</v>
      </c>
      <c r="B260" s="27">
        <v>45341</v>
      </c>
      <c r="C260" s="26" t="s">
        <v>19</v>
      </c>
      <c r="D260" s="26" t="s">
        <v>15</v>
      </c>
      <c r="E260" s="26" t="s">
        <v>27</v>
      </c>
      <c r="F260" s="28">
        <v>4842.54</v>
      </c>
      <c r="G260" s="33" t="s">
        <v>34</v>
      </c>
    </row>
    <row r="261" spans="1:7" x14ac:dyDescent="0.3">
      <c r="A261" s="32" t="s">
        <v>301</v>
      </c>
      <c r="B261" s="27">
        <v>45341</v>
      </c>
      <c r="C261" s="26" t="s">
        <v>19</v>
      </c>
      <c r="D261" s="26" t="s">
        <v>14</v>
      </c>
      <c r="E261" s="26" t="s">
        <v>46</v>
      </c>
      <c r="F261" s="28">
        <v>35801</v>
      </c>
      <c r="G261" s="33" t="s">
        <v>34</v>
      </c>
    </row>
    <row r="262" spans="1:7" x14ac:dyDescent="0.3">
      <c r="A262" s="32" t="s">
        <v>302</v>
      </c>
      <c r="B262" s="27">
        <v>45341</v>
      </c>
      <c r="C262" s="26" t="s">
        <v>19</v>
      </c>
      <c r="D262" s="26" t="s">
        <v>15</v>
      </c>
      <c r="E262" s="26" t="s">
        <v>31</v>
      </c>
      <c r="F262" s="28">
        <v>19227.27</v>
      </c>
      <c r="G262" s="33" t="s">
        <v>35</v>
      </c>
    </row>
    <row r="263" spans="1:7" x14ac:dyDescent="0.3">
      <c r="A263" s="32" t="s">
        <v>303</v>
      </c>
      <c r="B263" s="27">
        <v>45342</v>
      </c>
      <c r="C263" s="26" t="s">
        <v>19</v>
      </c>
      <c r="D263" s="26" t="s">
        <v>15</v>
      </c>
      <c r="E263" s="26" t="s">
        <v>31</v>
      </c>
      <c r="F263" s="28">
        <v>8029.71</v>
      </c>
      <c r="G263" s="33" t="s">
        <v>34</v>
      </c>
    </row>
    <row r="264" spans="1:7" x14ac:dyDescent="0.3">
      <c r="A264" s="32" t="s">
        <v>304</v>
      </c>
      <c r="B264" s="27">
        <v>45342</v>
      </c>
      <c r="C264" s="26" t="s">
        <v>19</v>
      </c>
      <c r="D264" s="26" t="s">
        <v>14</v>
      </c>
      <c r="E264" s="26" t="s">
        <v>46</v>
      </c>
      <c r="F264" s="28">
        <v>36671.78</v>
      </c>
      <c r="G264" s="33" t="s">
        <v>34</v>
      </c>
    </row>
    <row r="265" spans="1:7" x14ac:dyDescent="0.3">
      <c r="A265" s="32" t="s">
        <v>305</v>
      </c>
      <c r="B265" s="27">
        <v>45342</v>
      </c>
      <c r="C265" s="26" t="s">
        <v>19</v>
      </c>
      <c r="D265" s="26" t="s">
        <v>15</v>
      </c>
      <c r="E265" s="26" t="s">
        <v>27</v>
      </c>
      <c r="F265" s="28">
        <v>16686.63</v>
      </c>
      <c r="G265" s="33" t="s">
        <v>34</v>
      </c>
    </row>
    <row r="266" spans="1:7" x14ac:dyDescent="0.3">
      <c r="A266" s="32" t="s">
        <v>306</v>
      </c>
      <c r="B266" s="27">
        <v>45342</v>
      </c>
      <c r="C266" s="26" t="s">
        <v>19</v>
      </c>
      <c r="D266" s="26" t="s">
        <v>15</v>
      </c>
      <c r="E266" s="26" t="s">
        <v>30</v>
      </c>
      <c r="F266" s="28">
        <v>10543.89</v>
      </c>
      <c r="G266" s="33" t="s">
        <v>35</v>
      </c>
    </row>
    <row r="267" spans="1:7" x14ac:dyDescent="0.3">
      <c r="A267" s="32" t="s">
        <v>307</v>
      </c>
      <c r="B267" s="27">
        <v>45342</v>
      </c>
      <c r="C267" s="26" t="s">
        <v>19</v>
      </c>
      <c r="D267" s="26" t="s">
        <v>15</v>
      </c>
      <c r="E267" s="26" t="s">
        <v>27</v>
      </c>
      <c r="F267" s="28">
        <v>17521.240000000002</v>
      </c>
      <c r="G267" s="33" t="s">
        <v>34</v>
      </c>
    </row>
    <row r="268" spans="1:7" x14ac:dyDescent="0.3">
      <c r="A268" s="32" t="s">
        <v>308</v>
      </c>
      <c r="B268" s="27">
        <v>45342</v>
      </c>
      <c r="C268" s="26" t="s">
        <v>19</v>
      </c>
      <c r="D268" s="26" t="s">
        <v>15</v>
      </c>
      <c r="E268" s="26" t="s">
        <v>27</v>
      </c>
      <c r="F268" s="28">
        <v>12843.97</v>
      </c>
      <c r="G268" s="33" t="s">
        <v>34</v>
      </c>
    </row>
    <row r="269" spans="1:7" x14ac:dyDescent="0.3">
      <c r="A269" s="32" t="s">
        <v>309</v>
      </c>
      <c r="B269" s="27">
        <v>45343</v>
      </c>
      <c r="C269" s="26" t="s">
        <v>19</v>
      </c>
      <c r="D269" s="26" t="s">
        <v>15</v>
      </c>
      <c r="E269" s="26" t="s">
        <v>29</v>
      </c>
      <c r="F269" s="28">
        <v>16249.58</v>
      </c>
      <c r="G269" s="33" t="s">
        <v>35</v>
      </c>
    </row>
    <row r="270" spans="1:7" x14ac:dyDescent="0.3">
      <c r="A270" s="32" t="s">
        <v>310</v>
      </c>
      <c r="B270" s="27">
        <v>45343</v>
      </c>
      <c r="C270" s="26" t="s">
        <v>19</v>
      </c>
      <c r="D270" s="26" t="s">
        <v>15</v>
      </c>
      <c r="E270" s="26" t="s">
        <v>27</v>
      </c>
      <c r="F270" s="28">
        <v>23692.89</v>
      </c>
      <c r="G270" s="33" t="s">
        <v>34</v>
      </c>
    </row>
    <row r="271" spans="1:7" x14ac:dyDescent="0.3">
      <c r="A271" s="32" t="s">
        <v>311</v>
      </c>
      <c r="B271" s="27">
        <v>45343</v>
      </c>
      <c r="C271" s="26" t="s">
        <v>19</v>
      </c>
      <c r="D271" s="26" t="s">
        <v>14</v>
      </c>
      <c r="E271" s="26" t="s">
        <v>46</v>
      </c>
      <c r="F271" s="28">
        <v>32960.44</v>
      </c>
      <c r="G271" s="33" t="s">
        <v>35</v>
      </c>
    </row>
    <row r="272" spans="1:7" x14ac:dyDescent="0.3">
      <c r="A272" s="32" t="s">
        <v>312</v>
      </c>
      <c r="B272" s="27">
        <v>45344</v>
      </c>
      <c r="C272" s="26" t="s">
        <v>19</v>
      </c>
      <c r="D272" s="26" t="s">
        <v>15</v>
      </c>
      <c r="E272" s="26" t="s">
        <v>30</v>
      </c>
      <c r="F272" s="28">
        <v>16031.89</v>
      </c>
      <c r="G272" s="33" t="s">
        <v>34</v>
      </c>
    </row>
    <row r="273" spans="1:7" x14ac:dyDescent="0.3">
      <c r="A273" s="32" t="s">
        <v>313</v>
      </c>
      <c r="B273" s="27">
        <v>45344</v>
      </c>
      <c r="C273" s="26" t="s">
        <v>19</v>
      </c>
      <c r="D273" s="26" t="s">
        <v>15</v>
      </c>
      <c r="E273" s="26" t="s">
        <v>30</v>
      </c>
      <c r="F273" s="28">
        <v>16896</v>
      </c>
      <c r="G273" s="33" t="s">
        <v>36</v>
      </c>
    </row>
    <row r="274" spans="1:7" x14ac:dyDescent="0.3">
      <c r="A274" s="32" t="s">
        <v>314</v>
      </c>
      <c r="B274" s="27">
        <v>45344</v>
      </c>
      <c r="C274" s="26" t="s">
        <v>19</v>
      </c>
      <c r="D274" s="26" t="s">
        <v>15</v>
      </c>
      <c r="E274" s="26" t="s">
        <v>28</v>
      </c>
      <c r="F274" s="28">
        <v>16614.29</v>
      </c>
      <c r="G274" s="33" t="s">
        <v>34</v>
      </c>
    </row>
    <row r="275" spans="1:7" x14ac:dyDescent="0.3">
      <c r="A275" s="32" t="s">
        <v>315</v>
      </c>
      <c r="B275" s="27">
        <v>45345</v>
      </c>
      <c r="C275" s="26" t="s">
        <v>19</v>
      </c>
      <c r="D275" s="26" t="s">
        <v>15</v>
      </c>
      <c r="E275" s="26" t="s">
        <v>27</v>
      </c>
      <c r="F275" s="28">
        <v>12678.15</v>
      </c>
      <c r="G275" s="33" t="s">
        <v>34</v>
      </c>
    </row>
    <row r="276" spans="1:7" x14ac:dyDescent="0.3">
      <c r="A276" s="32" t="s">
        <v>316</v>
      </c>
      <c r="B276" s="27">
        <v>45345</v>
      </c>
      <c r="C276" s="26" t="s">
        <v>19</v>
      </c>
      <c r="D276" s="26" t="s">
        <v>15</v>
      </c>
      <c r="E276" s="26" t="s">
        <v>27</v>
      </c>
      <c r="F276" s="28">
        <v>18124.77</v>
      </c>
      <c r="G276" s="33" t="s">
        <v>34</v>
      </c>
    </row>
    <row r="277" spans="1:7" x14ac:dyDescent="0.3">
      <c r="A277" s="32" t="s">
        <v>317</v>
      </c>
      <c r="B277" s="27">
        <v>45345</v>
      </c>
      <c r="C277" s="26" t="s">
        <v>19</v>
      </c>
      <c r="D277" s="26" t="s">
        <v>15</v>
      </c>
      <c r="E277" s="26" t="s">
        <v>29</v>
      </c>
      <c r="F277" s="28">
        <v>16932.509999999998</v>
      </c>
      <c r="G277" s="33" t="s">
        <v>34</v>
      </c>
    </row>
    <row r="278" spans="1:7" x14ac:dyDescent="0.3">
      <c r="A278" s="32" t="s">
        <v>318</v>
      </c>
      <c r="B278" s="27">
        <v>45345</v>
      </c>
      <c r="C278" s="26" t="s">
        <v>19</v>
      </c>
      <c r="D278" s="26" t="s">
        <v>15</v>
      </c>
      <c r="E278" s="26" t="s">
        <v>31</v>
      </c>
      <c r="F278" s="28">
        <v>4683.55</v>
      </c>
      <c r="G278" s="33" t="s">
        <v>35</v>
      </c>
    </row>
    <row r="279" spans="1:7" x14ac:dyDescent="0.3">
      <c r="A279" s="32" t="s">
        <v>319</v>
      </c>
      <c r="B279" s="27">
        <v>45345</v>
      </c>
      <c r="C279" s="26" t="s">
        <v>19</v>
      </c>
      <c r="D279" s="26" t="s">
        <v>15</v>
      </c>
      <c r="E279" s="26" t="s">
        <v>29</v>
      </c>
      <c r="F279" s="28">
        <v>3042.98</v>
      </c>
      <c r="G279" s="33" t="s">
        <v>36</v>
      </c>
    </row>
    <row r="280" spans="1:7" x14ac:dyDescent="0.3">
      <c r="A280" s="32" t="s">
        <v>320</v>
      </c>
      <c r="B280" s="27">
        <v>45346</v>
      </c>
      <c r="C280" s="26" t="s">
        <v>19</v>
      </c>
      <c r="D280" s="26" t="s">
        <v>15</v>
      </c>
      <c r="E280" s="26" t="s">
        <v>27</v>
      </c>
      <c r="F280" s="28">
        <v>2855.88</v>
      </c>
      <c r="G280" s="33" t="s">
        <v>34</v>
      </c>
    </row>
    <row r="281" spans="1:7" x14ac:dyDescent="0.3">
      <c r="A281" s="32" t="s">
        <v>321</v>
      </c>
      <c r="B281" s="27">
        <v>45346</v>
      </c>
      <c r="C281" s="26" t="s">
        <v>19</v>
      </c>
      <c r="D281" s="26" t="s">
        <v>15</v>
      </c>
      <c r="E281" s="26" t="s">
        <v>29</v>
      </c>
      <c r="F281" s="28">
        <v>24906.33</v>
      </c>
      <c r="G281" s="33" t="s">
        <v>34</v>
      </c>
    </row>
    <row r="282" spans="1:7" x14ac:dyDescent="0.3">
      <c r="A282" s="32" t="s">
        <v>322</v>
      </c>
      <c r="B282" s="27">
        <v>45346</v>
      </c>
      <c r="C282" s="26" t="s">
        <v>19</v>
      </c>
      <c r="D282" s="26" t="s">
        <v>15</v>
      </c>
      <c r="E282" s="26" t="s">
        <v>28</v>
      </c>
      <c r="F282" s="28">
        <v>4670.7700000000004</v>
      </c>
      <c r="G282" s="33" t="s">
        <v>35</v>
      </c>
    </row>
    <row r="283" spans="1:7" x14ac:dyDescent="0.3">
      <c r="A283" s="32" t="s">
        <v>323</v>
      </c>
      <c r="B283" s="27">
        <v>45346</v>
      </c>
      <c r="C283" s="26" t="s">
        <v>19</v>
      </c>
      <c r="D283" s="26" t="s">
        <v>14</v>
      </c>
      <c r="E283" s="26" t="s">
        <v>46</v>
      </c>
      <c r="F283" s="28">
        <v>26436</v>
      </c>
      <c r="G283" s="33" t="s">
        <v>35</v>
      </c>
    </row>
    <row r="284" spans="1:7" x14ac:dyDescent="0.3">
      <c r="A284" s="32" t="s">
        <v>324</v>
      </c>
      <c r="B284" s="27">
        <v>45346</v>
      </c>
      <c r="C284" s="26" t="s">
        <v>19</v>
      </c>
      <c r="D284" s="26" t="s">
        <v>15</v>
      </c>
      <c r="E284" s="26" t="s">
        <v>30</v>
      </c>
      <c r="F284" s="28">
        <v>14363.57</v>
      </c>
      <c r="G284" s="33" t="s">
        <v>34</v>
      </c>
    </row>
    <row r="285" spans="1:7" x14ac:dyDescent="0.3">
      <c r="A285" s="32" t="s">
        <v>325</v>
      </c>
      <c r="B285" s="27">
        <v>45346</v>
      </c>
      <c r="C285" s="26" t="s">
        <v>19</v>
      </c>
      <c r="D285" s="26" t="s">
        <v>14</v>
      </c>
      <c r="E285" s="26" t="s">
        <v>46</v>
      </c>
      <c r="F285" s="28">
        <v>37205.21</v>
      </c>
      <c r="G285" s="33" t="s">
        <v>34</v>
      </c>
    </row>
    <row r="286" spans="1:7" x14ac:dyDescent="0.3">
      <c r="A286" s="32" t="s">
        <v>326</v>
      </c>
      <c r="B286" s="27">
        <v>45346</v>
      </c>
      <c r="C286" s="26" t="s">
        <v>19</v>
      </c>
      <c r="D286" s="26" t="s">
        <v>15</v>
      </c>
      <c r="E286" s="26" t="s">
        <v>27</v>
      </c>
      <c r="F286" s="28">
        <v>10533.26</v>
      </c>
      <c r="G286" s="33" t="s">
        <v>34</v>
      </c>
    </row>
    <row r="287" spans="1:7" x14ac:dyDescent="0.3">
      <c r="A287" s="32" t="s">
        <v>327</v>
      </c>
      <c r="B287" s="27">
        <v>45346</v>
      </c>
      <c r="C287" s="26" t="s">
        <v>19</v>
      </c>
      <c r="D287" s="26" t="s">
        <v>14</v>
      </c>
      <c r="E287" s="26" t="s">
        <v>46</v>
      </c>
      <c r="F287" s="28">
        <v>76456.649999999994</v>
      </c>
      <c r="G287" s="33" t="s">
        <v>35</v>
      </c>
    </row>
    <row r="288" spans="1:7" x14ac:dyDescent="0.3">
      <c r="A288" s="32" t="s">
        <v>328</v>
      </c>
      <c r="B288" s="27">
        <v>45346</v>
      </c>
      <c r="C288" s="26" t="s">
        <v>19</v>
      </c>
      <c r="D288" s="26" t="s">
        <v>15</v>
      </c>
      <c r="E288" s="26" t="s">
        <v>30</v>
      </c>
      <c r="F288" s="28">
        <v>18019.13</v>
      </c>
      <c r="G288" s="33" t="s">
        <v>34</v>
      </c>
    </row>
    <row r="289" spans="1:7" x14ac:dyDescent="0.3">
      <c r="A289" s="32" t="s">
        <v>329</v>
      </c>
      <c r="B289" s="27">
        <v>45346</v>
      </c>
      <c r="C289" s="26" t="s">
        <v>19</v>
      </c>
      <c r="D289" s="26" t="s">
        <v>15</v>
      </c>
      <c r="E289" s="26" t="s">
        <v>28</v>
      </c>
      <c r="F289" s="28">
        <v>14424.43</v>
      </c>
      <c r="G289" s="33" t="s">
        <v>34</v>
      </c>
    </row>
    <row r="290" spans="1:7" x14ac:dyDescent="0.3">
      <c r="A290" s="32" t="s">
        <v>330</v>
      </c>
      <c r="B290" s="27">
        <v>45346</v>
      </c>
      <c r="C290" s="26" t="s">
        <v>19</v>
      </c>
      <c r="D290" s="26" t="s">
        <v>14</v>
      </c>
      <c r="E290" s="26" t="s">
        <v>46</v>
      </c>
      <c r="F290" s="28">
        <v>51113.82</v>
      </c>
      <c r="G290" s="33" t="s">
        <v>34</v>
      </c>
    </row>
    <row r="291" spans="1:7" x14ac:dyDescent="0.3">
      <c r="A291" s="32" t="s">
        <v>331</v>
      </c>
      <c r="B291" s="27">
        <v>45347</v>
      </c>
      <c r="C291" s="26" t="s">
        <v>19</v>
      </c>
      <c r="D291" s="26" t="s">
        <v>15</v>
      </c>
      <c r="E291" s="26" t="s">
        <v>31</v>
      </c>
      <c r="F291" s="28">
        <v>18711.78</v>
      </c>
      <c r="G291" s="33" t="s">
        <v>35</v>
      </c>
    </row>
    <row r="292" spans="1:7" x14ac:dyDescent="0.3">
      <c r="A292" s="32" t="s">
        <v>332</v>
      </c>
      <c r="B292" s="27">
        <v>45347</v>
      </c>
      <c r="C292" s="26" t="s">
        <v>19</v>
      </c>
      <c r="D292" s="26" t="s">
        <v>14</v>
      </c>
      <c r="E292" s="26" t="s">
        <v>46</v>
      </c>
      <c r="F292" s="28">
        <v>71978.960000000006</v>
      </c>
      <c r="G292" s="33" t="s">
        <v>34</v>
      </c>
    </row>
    <row r="293" spans="1:7" x14ac:dyDescent="0.3">
      <c r="A293" s="32" t="s">
        <v>333</v>
      </c>
      <c r="B293" s="27">
        <v>45347</v>
      </c>
      <c r="C293" s="26" t="s">
        <v>19</v>
      </c>
      <c r="D293" s="26" t="s">
        <v>14</v>
      </c>
      <c r="E293" s="26" t="s">
        <v>46</v>
      </c>
      <c r="F293" s="28">
        <v>55844.53</v>
      </c>
      <c r="G293" s="33" t="s">
        <v>34</v>
      </c>
    </row>
    <row r="294" spans="1:7" x14ac:dyDescent="0.3">
      <c r="A294" s="32" t="s">
        <v>334</v>
      </c>
      <c r="B294" s="27">
        <v>45347</v>
      </c>
      <c r="C294" s="26" t="s">
        <v>19</v>
      </c>
      <c r="D294" s="26" t="s">
        <v>15</v>
      </c>
      <c r="E294" s="26" t="s">
        <v>27</v>
      </c>
      <c r="F294" s="28">
        <v>21174.94</v>
      </c>
      <c r="G294" s="33" t="s">
        <v>34</v>
      </c>
    </row>
    <row r="295" spans="1:7" x14ac:dyDescent="0.3">
      <c r="A295" s="32" t="s">
        <v>335</v>
      </c>
      <c r="B295" s="27">
        <v>45347</v>
      </c>
      <c r="C295" s="26" t="s">
        <v>19</v>
      </c>
      <c r="D295" s="26" t="s">
        <v>15</v>
      </c>
      <c r="E295" s="26" t="s">
        <v>29</v>
      </c>
      <c r="F295" s="28">
        <v>16160</v>
      </c>
      <c r="G295" s="33" t="s">
        <v>34</v>
      </c>
    </row>
    <row r="296" spans="1:7" x14ac:dyDescent="0.3">
      <c r="A296" s="32" t="s">
        <v>336</v>
      </c>
      <c r="B296" s="27">
        <v>45348</v>
      </c>
      <c r="C296" s="26" t="s">
        <v>19</v>
      </c>
      <c r="D296" s="26" t="s">
        <v>14</v>
      </c>
      <c r="E296" s="26" t="s">
        <v>46</v>
      </c>
      <c r="F296" s="28">
        <v>75733.710000000006</v>
      </c>
      <c r="G296" s="33" t="s">
        <v>34</v>
      </c>
    </row>
    <row r="297" spans="1:7" x14ac:dyDescent="0.3">
      <c r="A297" s="32" t="s">
        <v>337</v>
      </c>
      <c r="B297" s="27">
        <v>45348</v>
      </c>
      <c r="C297" s="26" t="s">
        <v>19</v>
      </c>
      <c r="D297" s="26" t="s">
        <v>15</v>
      </c>
      <c r="E297" s="26" t="s">
        <v>31</v>
      </c>
      <c r="F297" s="28">
        <v>8434.02</v>
      </c>
      <c r="G297" s="33" t="s">
        <v>34</v>
      </c>
    </row>
    <row r="298" spans="1:7" x14ac:dyDescent="0.3">
      <c r="A298" s="32" t="s">
        <v>338</v>
      </c>
      <c r="B298" s="27">
        <v>45348</v>
      </c>
      <c r="C298" s="26" t="s">
        <v>19</v>
      </c>
      <c r="D298" s="26" t="s">
        <v>15</v>
      </c>
      <c r="E298" s="26" t="s">
        <v>27</v>
      </c>
      <c r="F298" s="28">
        <v>17876.46</v>
      </c>
      <c r="G298" s="33" t="s">
        <v>34</v>
      </c>
    </row>
    <row r="299" spans="1:7" x14ac:dyDescent="0.3">
      <c r="A299" s="32" t="s">
        <v>339</v>
      </c>
      <c r="B299" s="27">
        <v>45348</v>
      </c>
      <c r="C299" s="26" t="s">
        <v>19</v>
      </c>
      <c r="D299" s="26" t="s">
        <v>14</v>
      </c>
      <c r="E299" s="26" t="s">
        <v>46</v>
      </c>
      <c r="F299" s="28">
        <v>25208.880000000001</v>
      </c>
      <c r="G299" s="33" t="s">
        <v>34</v>
      </c>
    </row>
    <row r="300" spans="1:7" x14ac:dyDescent="0.3">
      <c r="A300" s="32" t="s">
        <v>340</v>
      </c>
      <c r="B300" s="27">
        <v>45348</v>
      </c>
      <c r="C300" s="26" t="s">
        <v>19</v>
      </c>
      <c r="D300" s="26" t="s">
        <v>15</v>
      </c>
      <c r="E300" s="26" t="s">
        <v>31</v>
      </c>
      <c r="F300" s="28">
        <v>12228</v>
      </c>
      <c r="G300" s="33" t="s">
        <v>34</v>
      </c>
    </row>
    <row r="301" spans="1:7" x14ac:dyDescent="0.3">
      <c r="A301" s="32" t="s">
        <v>341</v>
      </c>
      <c r="B301" s="27">
        <v>45348</v>
      </c>
      <c r="C301" s="26" t="s">
        <v>19</v>
      </c>
      <c r="D301" s="26" t="s">
        <v>14</v>
      </c>
      <c r="E301" s="26" t="s">
        <v>46</v>
      </c>
      <c r="F301" s="28">
        <v>26527.88</v>
      </c>
      <c r="G301" s="33" t="s">
        <v>35</v>
      </c>
    </row>
    <row r="302" spans="1:7" x14ac:dyDescent="0.3">
      <c r="A302" s="32" t="s">
        <v>342</v>
      </c>
      <c r="B302" s="27">
        <v>45348</v>
      </c>
      <c r="C302" s="26" t="s">
        <v>19</v>
      </c>
      <c r="D302" s="26" t="s">
        <v>14</v>
      </c>
      <c r="E302" s="26" t="s">
        <v>46</v>
      </c>
      <c r="F302" s="28">
        <v>35388.019999999997</v>
      </c>
      <c r="G302" s="33" t="s">
        <v>35</v>
      </c>
    </row>
    <row r="303" spans="1:7" x14ac:dyDescent="0.3">
      <c r="A303" s="32" t="s">
        <v>343</v>
      </c>
      <c r="B303" s="27">
        <v>45348</v>
      </c>
      <c r="C303" s="26" t="s">
        <v>19</v>
      </c>
      <c r="D303" s="26" t="s">
        <v>15</v>
      </c>
      <c r="E303" s="26" t="s">
        <v>29</v>
      </c>
      <c r="F303" s="28">
        <v>24561.34</v>
      </c>
      <c r="G303" s="33" t="s">
        <v>34</v>
      </c>
    </row>
    <row r="304" spans="1:7" x14ac:dyDescent="0.3">
      <c r="A304" s="32" t="s">
        <v>344</v>
      </c>
      <c r="B304" s="27">
        <v>45348</v>
      </c>
      <c r="C304" s="26" t="s">
        <v>19</v>
      </c>
      <c r="D304" s="26" t="s">
        <v>15</v>
      </c>
      <c r="E304" s="26" t="s">
        <v>27</v>
      </c>
      <c r="F304" s="28">
        <v>10448.700000000001</v>
      </c>
      <c r="G304" s="33" t="s">
        <v>35</v>
      </c>
    </row>
    <row r="305" spans="1:7" x14ac:dyDescent="0.3">
      <c r="A305" s="32" t="s">
        <v>345</v>
      </c>
      <c r="B305" s="27">
        <v>45349</v>
      </c>
      <c r="C305" s="26" t="s">
        <v>19</v>
      </c>
      <c r="D305" s="26" t="s">
        <v>15</v>
      </c>
      <c r="E305" s="26" t="s">
        <v>27</v>
      </c>
      <c r="F305" s="28">
        <v>22739.01</v>
      </c>
      <c r="G305" s="33" t="s">
        <v>34</v>
      </c>
    </row>
    <row r="306" spans="1:7" x14ac:dyDescent="0.3">
      <c r="A306" s="32" t="s">
        <v>346</v>
      </c>
      <c r="B306" s="27">
        <v>45349</v>
      </c>
      <c r="C306" s="26" t="s">
        <v>19</v>
      </c>
      <c r="D306" s="26" t="s">
        <v>15</v>
      </c>
      <c r="E306" s="26" t="s">
        <v>29</v>
      </c>
      <c r="F306" s="28">
        <v>16831.02</v>
      </c>
      <c r="G306" s="33" t="s">
        <v>34</v>
      </c>
    </row>
    <row r="307" spans="1:7" x14ac:dyDescent="0.3">
      <c r="A307" s="32" t="s">
        <v>347</v>
      </c>
      <c r="B307" s="27">
        <v>45349</v>
      </c>
      <c r="C307" s="26" t="s">
        <v>19</v>
      </c>
      <c r="D307" s="26" t="s">
        <v>15</v>
      </c>
      <c r="E307" s="26" t="s">
        <v>27</v>
      </c>
      <c r="F307" s="28">
        <v>3392.65</v>
      </c>
      <c r="G307" s="33" t="s">
        <v>34</v>
      </c>
    </row>
    <row r="308" spans="1:7" x14ac:dyDescent="0.3">
      <c r="A308" s="32" t="s">
        <v>348</v>
      </c>
      <c r="B308" s="27">
        <v>45349</v>
      </c>
      <c r="C308" s="26" t="s">
        <v>19</v>
      </c>
      <c r="D308" s="26" t="s">
        <v>15</v>
      </c>
      <c r="E308" s="26" t="s">
        <v>28</v>
      </c>
      <c r="F308" s="28">
        <v>8345.27</v>
      </c>
      <c r="G308" s="33" t="s">
        <v>34</v>
      </c>
    </row>
    <row r="309" spans="1:7" x14ac:dyDescent="0.3">
      <c r="A309" s="32" t="s">
        <v>349</v>
      </c>
      <c r="B309" s="27">
        <v>45349</v>
      </c>
      <c r="C309" s="26" t="s">
        <v>19</v>
      </c>
      <c r="D309" s="26" t="s">
        <v>14</v>
      </c>
      <c r="E309" s="26" t="s">
        <v>46</v>
      </c>
      <c r="F309" s="28">
        <v>77774.48</v>
      </c>
      <c r="G309" s="33" t="s">
        <v>35</v>
      </c>
    </row>
    <row r="310" spans="1:7" x14ac:dyDescent="0.3">
      <c r="A310" s="32" t="s">
        <v>350</v>
      </c>
      <c r="B310" s="27">
        <v>45349</v>
      </c>
      <c r="C310" s="26" t="s">
        <v>19</v>
      </c>
      <c r="D310" s="26" t="s">
        <v>15</v>
      </c>
      <c r="E310" s="26" t="s">
        <v>27</v>
      </c>
      <c r="F310" s="28">
        <v>23827.25</v>
      </c>
      <c r="G310" s="33" t="s">
        <v>35</v>
      </c>
    </row>
    <row r="311" spans="1:7" x14ac:dyDescent="0.3">
      <c r="A311" s="32" t="s">
        <v>351</v>
      </c>
      <c r="B311" s="27">
        <v>45350</v>
      </c>
      <c r="C311" s="26" t="s">
        <v>19</v>
      </c>
      <c r="D311" s="26" t="s">
        <v>14</v>
      </c>
      <c r="E311" s="26" t="s">
        <v>46</v>
      </c>
      <c r="F311" s="28">
        <v>67693.38</v>
      </c>
      <c r="G311" s="33" t="s">
        <v>35</v>
      </c>
    </row>
    <row r="312" spans="1:7" x14ac:dyDescent="0.3">
      <c r="A312" s="32" t="s">
        <v>352</v>
      </c>
      <c r="B312" s="27">
        <v>45350</v>
      </c>
      <c r="C312" s="26" t="s">
        <v>19</v>
      </c>
      <c r="D312" s="26" t="s">
        <v>15</v>
      </c>
      <c r="E312" s="26" t="s">
        <v>29</v>
      </c>
      <c r="F312" s="28">
        <v>4108.49</v>
      </c>
      <c r="G312" s="33" t="s">
        <v>34</v>
      </c>
    </row>
    <row r="313" spans="1:7" x14ac:dyDescent="0.3">
      <c r="A313" s="32" t="s">
        <v>353</v>
      </c>
      <c r="B313" s="27">
        <v>45350</v>
      </c>
      <c r="C313" s="26" t="s">
        <v>19</v>
      </c>
      <c r="D313" s="26" t="s">
        <v>14</v>
      </c>
      <c r="E313" s="26" t="s">
        <v>46</v>
      </c>
      <c r="F313" s="28">
        <v>24847.41</v>
      </c>
      <c r="G313" s="33" t="s">
        <v>34</v>
      </c>
    </row>
    <row r="314" spans="1:7" x14ac:dyDescent="0.3">
      <c r="A314" s="32" t="s">
        <v>354</v>
      </c>
      <c r="B314" s="27">
        <v>45350</v>
      </c>
      <c r="C314" s="26" t="s">
        <v>19</v>
      </c>
      <c r="D314" s="26" t="s">
        <v>14</v>
      </c>
      <c r="E314" s="26" t="s">
        <v>46</v>
      </c>
      <c r="F314" s="28">
        <v>54764.5</v>
      </c>
      <c r="G314" s="33" t="s">
        <v>34</v>
      </c>
    </row>
    <row r="315" spans="1:7" x14ac:dyDescent="0.3">
      <c r="A315" s="32" t="s">
        <v>355</v>
      </c>
      <c r="B315" s="27">
        <v>45350</v>
      </c>
      <c r="C315" s="26" t="s">
        <v>19</v>
      </c>
      <c r="D315" s="26" t="s">
        <v>15</v>
      </c>
      <c r="E315" s="26" t="s">
        <v>27</v>
      </c>
      <c r="F315" s="28">
        <v>24335.15</v>
      </c>
      <c r="G315" s="33" t="s">
        <v>34</v>
      </c>
    </row>
    <row r="316" spans="1:7" x14ac:dyDescent="0.3">
      <c r="A316" s="32" t="s">
        <v>356</v>
      </c>
      <c r="B316" s="27">
        <v>45350</v>
      </c>
      <c r="C316" s="26" t="s">
        <v>19</v>
      </c>
      <c r="D316" s="26" t="s">
        <v>15</v>
      </c>
      <c r="E316" s="26" t="s">
        <v>31</v>
      </c>
      <c r="F316" s="28">
        <v>3163.31</v>
      </c>
      <c r="G316" s="33" t="s">
        <v>34</v>
      </c>
    </row>
    <row r="317" spans="1:7" x14ac:dyDescent="0.3">
      <c r="A317" s="32" t="s">
        <v>357</v>
      </c>
      <c r="B317" s="27">
        <v>45351</v>
      </c>
      <c r="C317" s="26" t="s">
        <v>19</v>
      </c>
      <c r="D317" s="26" t="s">
        <v>15</v>
      </c>
      <c r="E317" s="26" t="s">
        <v>31</v>
      </c>
      <c r="F317" s="28">
        <v>9670.7099999999991</v>
      </c>
      <c r="G317" s="33" t="s">
        <v>34</v>
      </c>
    </row>
    <row r="318" spans="1:7" x14ac:dyDescent="0.3">
      <c r="A318" s="32" t="s">
        <v>358</v>
      </c>
      <c r="B318" s="27">
        <v>45351</v>
      </c>
      <c r="C318" s="26" t="s">
        <v>19</v>
      </c>
      <c r="D318" s="26" t="s">
        <v>15</v>
      </c>
      <c r="E318" s="26" t="s">
        <v>31</v>
      </c>
      <c r="F318" s="28">
        <v>24742.880000000001</v>
      </c>
      <c r="G318" s="33" t="s">
        <v>34</v>
      </c>
    </row>
    <row r="319" spans="1:7" x14ac:dyDescent="0.3">
      <c r="A319" s="32" t="s">
        <v>359</v>
      </c>
      <c r="B319" s="27">
        <v>45351</v>
      </c>
      <c r="C319" s="26" t="s">
        <v>19</v>
      </c>
      <c r="D319" s="26" t="s">
        <v>14</v>
      </c>
      <c r="E319" s="26" t="s">
        <v>46</v>
      </c>
      <c r="F319" s="28">
        <v>65088.47</v>
      </c>
      <c r="G319" s="33" t="s">
        <v>34</v>
      </c>
    </row>
    <row r="320" spans="1:7" x14ac:dyDescent="0.3">
      <c r="A320" s="32" t="s">
        <v>360</v>
      </c>
      <c r="B320" s="27">
        <v>45351</v>
      </c>
      <c r="C320" s="26" t="s">
        <v>19</v>
      </c>
      <c r="D320" s="26" t="s">
        <v>14</v>
      </c>
      <c r="E320" s="26" t="s">
        <v>46</v>
      </c>
      <c r="F320" s="28">
        <v>24364.39</v>
      </c>
      <c r="G320" s="33" t="s">
        <v>35</v>
      </c>
    </row>
    <row r="321" spans="1:7" x14ac:dyDescent="0.3">
      <c r="A321" s="32" t="s">
        <v>361</v>
      </c>
      <c r="B321" s="27">
        <v>45351</v>
      </c>
      <c r="C321" s="26" t="s">
        <v>19</v>
      </c>
      <c r="D321" s="26" t="s">
        <v>14</v>
      </c>
      <c r="E321" s="26" t="s">
        <v>46</v>
      </c>
      <c r="F321" s="28">
        <v>68087.25</v>
      </c>
      <c r="G321" s="33" t="s">
        <v>36</v>
      </c>
    </row>
    <row r="322" spans="1:7" x14ac:dyDescent="0.3">
      <c r="A322" s="32" t="s">
        <v>362</v>
      </c>
      <c r="B322" s="27">
        <v>45351</v>
      </c>
      <c r="C322" s="26" t="s">
        <v>19</v>
      </c>
      <c r="D322" s="26" t="s">
        <v>15</v>
      </c>
      <c r="E322" s="26" t="s">
        <v>29</v>
      </c>
      <c r="F322" s="28">
        <v>14746.78</v>
      </c>
      <c r="G322" s="33" t="s">
        <v>36</v>
      </c>
    </row>
    <row r="323" spans="1:7" x14ac:dyDescent="0.3">
      <c r="A323" s="32" t="s">
        <v>363</v>
      </c>
      <c r="B323" s="27">
        <v>45352</v>
      </c>
      <c r="C323" s="26" t="s">
        <v>20</v>
      </c>
      <c r="D323" s="26" t="s">
        <v>15</v>
      </c>
      <c r="E323" s="26" t="s">
        <v>27</v>
      </c>
      <c r="F323" s="28">
        <v>15486.81</v>
      </c>
      <c r="G323" s="33" t="s">
        <v>34</v>
      </c>
    </row>
    <row r="324" spans="1:7" x14ac:dyDescent="0.3">
      <c r="A324" s="32" t="s">
        <v>364</v>
      </c>
      <c r="B324" s="27">
        <v>45352</v>
      </c>
      <c r="C324" s="26" t="s">
        <v>20</v>
      </c>
      <c r="D324" s="26" t="s">
        <v>15</v>
      </c>
      <c r="E324" s="26" t="s">
        <v>30</v>
      </c>
      <c r="F324" s="28">
        <v>20700.22</v>
      </c>
      <c r="G324" s="33" t="s">
        <v>34</v>
      </c>
    </row>
    <row r="325" spans="1:7" x14ac:dyDescent="0.3">
      <c r="A325" s="32" t="s">
        <v>365</v>
      </c>
      <c r="B325" s="27">
        <v>45352</v>
      </c>
      <c r="C325" s="26" t="s">
        <v>20</v>
      </c>
      <c r="D325" s="26" t="s">
        <v>14</v>
      </c>
      <c r="E325" s="26" t="s">
        <v>46</v>
      </c>
      <c r="F325" s="28">
        <v>26309.91</v>
      </c>
      <c r="G325" s="33" t="s">
        <v>34</v>
      </c>
    </row>
    <row r="326" spans="1:7" x14ac:dyDescent="0.3">
      <c r="A326" s="32" t="s">
        <v>366</v>
      </c>
      <c r="B326" s="27">
        <v>45352</v>
      </c>
      <c r="C326" s="26" t="s">
        <v>20</v>
      </c>
      <c r="D326" s="26" t="s">
        <v>15</v>
      </c>
      <c r="E326" s="26" t="s">
        <v>27</v>
      </c>
      <c r="F326" s="28">
        <v>19810.48</v>
      </c>
      <c r="G326" s="33" t="s">
        <v>35</v>
      </c>
    </row>
    <row r="327" spans="1:7" x14ac:dyDescent="0.3">
      <c r="A327" s="32" t="s">
        <v>367</v>
      </c>
      <c r="B327" s="27">
        <v>45352</v>
      </c>
      <c r="C327" s="26" t="s">
        <v>20</v>
      </c>
      <c r="D327" s="26" t="s">
        <v>15</v>
      </c>
      <c r="E327" s="26" t="s">
        <v>27</v>
      </c>
      <c r="F327" s="28">
        <v>20138.810000000001</v>
      </c>
      <c r="G327" s="33" t="s">
        <v>34</v>
      </c>
    </row>
    <row r="328" spans="1:7" x14ac:dyDescent="0.3">
      <c r="A328" s="32" t="s">
        <v>368</v>
      </c>
      <c r="B328" s="27">
        <v>45352</v>
      </c>
      <c r="C328" s="26" t="s">
        <v>20</v>
      </c>
      <c r="D328" s="26" t="s">
        <v>15</v>
      </c>
      <c r="E328" s="26" t="s">
        <v>27</v>
      </c>
      <c r="F328" s="28">
        <v>15707.58</v>
      </c>
      <c r="G328" s="33" t="s">
        <v>34</v>
      </c>
    </row>
    <row r="329" spans="1:7" x14ac:dyDescent="0.3">
      <c r="A329" s="32" t="s">
        <v>369</v>
      </c>
      <c r="B329" s="27">
        <v>45353</v>
      </c>
      <c r="C329" s="26" t="s">
        <v>20</v>
      </c>
      <c r="D329" s="26" t="s">
        <v>15</v>
      </c>
      <c r="E329" s="26" t="s">
        <v>28</v>
      </c>
      <c r="F329" s="28">
        <v>8377.32</v>
      </c>
      <c r="G329" s="33" t="s">
        <v>35</v>
      </c>
    </row>
    <row r="330" spans="1:7" x14ac:dyDescent="0.3">
      <c r="A330" s="32" t="s">
        <v>370</v>
      </c>
      <c r="B330" s="27">
        <v>45353</v>
      </c>
      <c r="C330" s="26" t="s">
        <v>20</v>
      </c>
      <c r="D330" s="26" t="s">
        <v>15</v>
      </c>
      <c r="E330" s="26" t="s">
        <v>30</v>
      </c>
      <c r="F330" s="28">
        <v>24632.65</v>
      </c>
      <c r="G330" s="33" t="s">
        <v>34</v>
      </c>
    </row>
    <row r="331" spans="1:7" x14ac:dyDescent="0.3">
      <c r="A331" s="32" t="s">
        <v>371</v>
      </c>
      <c r="B331" s="27">
        <v>45353</v>
      </c>
      <c r="C331" s="26" t="s">
        <v>20</v>
      </c>
      <c r="D331" s="26" t="s">
        <v>14</v>
      </c>
      <c r="E331" s="26" t="s">
        <v>46</v>
      </c>
      <c r="F331" s="28">
        <v>79126.91</v>
      </c>
      <c r="G331" s="33" t="s">
        <v>34</v>
      </c>
    </row>
    <row r="332" spans="1:7" x14ac:dyDescent="0.3">
      <c r="A332" s="32" t="s">
        <v>372</v>
      </c>
      <c r="B332" s="27">
        <v>45353</v>
      </c>
      <c r="C332" s="26" t="s">
        <v>20</v>
      </c>
      <c r="D332" s="26" t="s">
        <v>15</v>
      </c>
      <c r="E332" s="26" t="s">
        <v>29</v>
      </c>
      <c r="F332" s="28">
        <v>14424.96</v>
      </c>
      <c r="G332" s="33" t="s">
        <v>34</v>
      </c>
    </row>
    <row r="333" spans="1:7" x14ac:dyDescent="0.3">
      <c r="A333" s="32" t="s">
        <v>373</v>
      </c>
      <c r="B333" s="27">
        <v>45353</v>
      </c>
      <c r="C333" s="26" t="s">
        <v>20</v>
      </c>
      <c r="D333" s="26" t="s">
        <v>15</v>
      </c>
      <c r="E333" s="26" t="s">
        <v>28</v>
      </c>
      <c r="F333" s="28">
        <v>20365.82</v>
      </c>
      <c r="G333" s="33" t="s">
        <v>34</v>
      </c>
    </row>
    <row r="334" spans="1:7" x14ac:dyDescent="0.3">
      <c r="A334" s="32" t="s">
        <v>374</v>
      </c>
      <c r="B334" s="27">
        <v>45353</v>
      </c>
      <c r="C334" s="26" t="s">
        <v>20</v>
      </c>
      <c r="D334" s="26" t="s">
        <v>14</v>
      </c>
      <c r="E334" s="26" t="s">
        <v>46</v>
      </c>
      <c r="F334" s="28">
        <v>17694.84</v>
      </c>
      <c r="G334" s="33" t="s">
        <v>34</v>
      </c>
    </row>
    <row r="335" spans="1:7" x14ac:dyDescent="0.3">
      <c r="A335" s="32" t="s">
        <v>375</v>
      </c>
      <c r="B335" s="27">
        <v>45353</v>
      </c>
      <c r="C335" s="26" t="s">
        <v>20</v>
      </c>
      <c r="D335" s="26" t="s">
        <v>14</v>
      </c>
      <c r="E335" s="26" t="s">
        <v>46</v>
      </c>
      <c r="F335" s="28">
        <v>70651.350000000006</v>
      </c>
      <c r="G335" s="33" t="s">
        <v>34</v>
      </c>
    </row>
    <row r="336" spans="1:7" x14ac:dyDescent="0.3">
      <c r="A336" s="32" t="s">
        <v>376</v>
      </c>
      <c r="B336" s="27">
        <v>45353</v>
      </c>
      <c r="C336" s="26" t="s">
        <v>20</v>
      </c>
      <c r="D336" s="26" t="s">
        <v>14</v>
      </c>
      <c r="E336" s="26" t="s">
        <v>46</v>
      </c>
      <c r="F336" s="28">
        <v>19226.23</v>
      </c>
      <c r="G336" s="33" t="s">
        <v>34</v>
      </c>
    </row>
    <row r="337" spans="1:7" x14ac:dyDescent="0.3">
      <c r="A337" s="32" t="s">
        <v>377</v>
      </c>
      <c r="B337" s="27">
        <v>45354</v>
      </c>
      <c r="C337" s="26" t="s">
        <v>20</v>
      </c>
      <c r="D337" s="26" t="s">
        <v>14</v>
      </c>
      <c r="E337" s="26" t="s">
        <v>46</v>
      </c>
      <c r="F337" s="28">
        <v>35076.959999999999</v>
      </c>
      <c r="G337" s="33" t="s">
        <v>34</v>
      </c>
    </row>
    <row r="338" spans="1:7" x14ac:dyDescent="0.3">
      <c r="A338" s="32" t="s">
        <v>378</v>
      </c>
      <c r="B338" s="27">
        <v>45354</v>
      </c>
      <c r="C338" s="26" t="s">
        <v>20</v>
      </c>
      <c r="D338" s="26" t="s">
        <v>15</v>
      </c>
      <c r="E338" s="26" t="s">
        <v>27</v>
      </c>
      <c r="F338" s="28">
        <v>20133.93</v>
      </c>
      <c r="G338" s="33" t="s">
        <v>35</v>
      </c>
    </row>
    <row r="339" spans="1:7" x14ac:dyDescent="0.3">
      <c r="A339" s="32" t="s">
        <v>379</v>
      </c>
      <c r="B339" s="27">
        <v>45354</v>
      </c>
      <c r="C339" s="26" t="s">
        <v>20</v>
      </c>
      <c r="D339" s="26" t="s">
        <v>15</v>
      </c>
      <c r="E339" s="26" t="s">
        <v>31</v>
      </c>
      <c r="F339" s="28">
        <v>15543.62</v>
      </c>
      <c r="G339" s="33" t="s">
        <v>34</v>
      </c>
    </row>
    <row r="340" spans="1:7" x14ac:dyDescent="0.3">
      <c r="A340" s="32" t="s">
        <v>380</v>
      </c>
      <c r="B340" s="27">
        <v>45354</v>
      </c>
      <c r="C340" s="26" t="s">
        <v>20</v>
      </c>
      <c r="D340" s="26" t="s">
        <v>15</v>
      </c>
      <c r="E340" s="26" t="s">
        <v>28</v>
      </c>
      <c r="F340" s="28">
        <v>2362.96</v>
      </c>
      <c r="G340" s="33" t="s">
        <v>34</v>
      </c>
    </row>
    <row r="341" spans="1:7" x14ac:dyDescent="0.3">
      <c r="A341" s="32" t="s">
        <v>381</v>
      </c>
      <c r="B341" s="27">
        <v>45354</v>
      </c>
      <c r="C341" s="26" t="s">
        <v>20</v>
      </c>
      <c r="D341" s="26" t="s">
        <v>14</v>
      </c>
      <c r="E341" s="26" t="s">
        <v>46</v>
      </c>
      <c r="F341" s="28">
        <v>28575.73</v>
      </c>
      <c r="G341" s="33" t="s">
        <v>34</v>
      </c>
    </row>
    <row r="342" spans="1:7" x14ac:dyDescent="0.3">
      <c r="A342" s="32" t="s">
        <v>382</v>
      </c>
      <c r="B342" s="27">
        <v>45354</v>
      </c>
      <c r="C342" s="26" t="s">
        <v>20</v>
      </c>
      <c r="D342" s="26" t="s">
        <v>15</v>
      </c>
      <c r="E342" s="26" t="s">
        <v>28</v>
      </c>
      <c r="F342" s="28">
        <v>4915.45</v>
      </c>
      <c r="G342" s="33" t="s">
        <v>36</v>
      </c>
    </row>
    <row r="343" spans="1:7" x14ac:dyDescent="0.3">
      <c r="A343" s="32" t="s">
        <v>383</v>
      </c>
      <c r="B343" s="27">
        <v>45354</v>
      </c>
      <c r="C343" s="26" t="s">
        <v>20</v>
      </c>
      <c r="D343" s="26" t="s">
        <v>15</v>
      </c>
      <c r="E343" s="26" t="s">
        <v>27</v>
      </c>
      <c r="F343" s="28">
        <v>11682.09</v>
      </c>
      <c r="G343" s="33" t="s">
        <v>34</v>
      </c>
    </row>
    <row r="344" spans="1:7" x14ac:dyDescent="0.3">
      <c r="A344" s="32" t="s">
        <v>384</v>
      </c>
      <c r="B344" s="27">
        <v>45354</v>
      </c>
      <c r="C344" s="26" t="s">
        <v>20</v>
      </c>
      <c r="D344" s="26" t="s">
        <v>14</v>
      </c>
      <c r="E344" s="26" t="s">
        <v>46</v>
      </c>
      <c r="F344" s="28">
        <v>17955.45</v>
      </c>
      <c r="G344" s="33" t="s">
        <v>34</v>
      </c>
    </row>
    <row r="345" spans="1:7" x14ac:dyDescent="0.3">
      <c r="A345" s="32" t="s">
        <v>385</v>
      </c>
      <c r="B345" s="27">
        <v>45354</v>
      </c>
      <c r="C345" s="26" t="s">
        <v>20</v>
      </c>
      <c r="D345" s="26" t="s">
        <v>15</v>
      </c>
      <c r="E345" s="26" t="s">
        <v>30</v>
      </c>
      <c r="F345" s="28">
        <v>3461.83</v>
      </c>
      <c r="G345" s="33" t="s">
        <v>35</v>
      </c>
    </row>
    <row r="346" spans="1:7" x14ac:dyDescent="0.3">
      <c r="A346" s="32" t="s">
        <v>386</v>
      </c>
      <c r="B346" s="27">
        <v>45354</v>
      </c>
      <c r="C346" s="26" t="s">
        <v>20</v>
      </c>
      <c r="D346" s="26" t="s">
        <v>15</v>
      </c>
      <c r="E346" s="26" t="s">
        <v>29</v>
      </c>
      <c r="F346" s="28">
        <v>12310.33</v>
      </c>
      <c r="G346" s="33" t="s">
        <v>35</v>
      </c>
    </row>
    <row r="347" spans="1:7" x14ac:dyDescent="0.3">
      <c r="A347" s="32" t="s">
        <v>387</v>
      </c>
      <c r="B347" s="27">
        <v>45355</v>
      </c>
      <c r="C347" s="26" t="s">
        <v>20</v>
      </c>
      <c r="D347" s="26" t="s">
        <v>15</v>
      </c>
      <c r="E347" s="26" t="s">
        <v>27</v>
      </c>
      <c r="F347" s="28">
        <v>10326.9</v>
      </c>
      <c r="G347" s="33" t="s">
        <v>34</v>
      </c>
    </row>
    <row r="348" spans="1:7" x14ac:dyDescent="0.3">
      <c r="A348" s="32" t="s">
        <v>388</v>
      </c>
      <c r="B348" s="27">
        <v>45355</v>
      </c>
      <c r="C348" s="26" t="s">
        <v>20</v>
      </c>
      <c r="D348" s="26" t="s">
        <v>15</v>
      </c>
      <c r="E348" s="26" t="s">
        <v>27</v>
      </c>
      <c r="F348" s="28">
        <v>15654.32</v>
      </c>
      <c r="G348" s="33" t="s">
        <v>35</v>
      </c>
    </row>
    <row r="349" spans="1:7" x14ac:dyDescent="0.3">
      <c r="A349" s="32" t="s">
        <v>389</v>
      </c>
      <c r="B349" s="27">
        <v>45355</v>
      </c>
      <c r="C349" s="26" t="s">
        <v>20</v>
      </c>
      <c r="D349" s="26" t="s">
        <v>14</v>
      </c>
      <c r="E349" s="26" t="s">
        <v>46</v>
      </c>
      <c r="F349" s="28">
        <v>41640.379999999997</v>
      </c>
      <c r="G349" s="33" t="s">
        <v>34</v>
      </c>
    </row>
    <row r="350" spans="1:7" x14ac:dyDescent="0.3">
      <c r="A350" s="32" t="s">
        <v>390</v>
      </c>
      <c r="B350" s="27">
        <v>45355</v>
      </c>
      <c r="C350" s="26" t="s">
        <v>20</v>
      </c>
      <c r="D350" s="26" t="s">
        <v>15</v>
      </c>
      <c r="E350" s="26" t="s">
        <v>29</v>
      </c>
      <c r="F350" s="28">
        <v>7095.64</v>
      </c>
      <c r="G350" s="33" t="s">
        <v>34</v>
      </c>
    </row>
    <row r="351" spans="1:7" x14ac:dyDescent="0.3">
      <c r="A351" s="32" t="s">
        <v>391</v>
      </c>
      <c r="B351" s="27">
        <v>45355</v>
      </c>
      <c r="C351" s="26" t="s">
        <v>20</v>
      </c>
      <c r="D351" s="26" t="s">
        <v>15</v>
      </c>
      <c r="E351" s="26" t="s">
        <v>29</v>
      </c>
      <c r="F351" s="28">
        <v>16147.46</v>
      </c>
      <c r="G351" s="33" t="s">
        <v>34</v>
      </c>
    </row>
    <row r="352" spans="1:7" x14ac:dyDescent="0.3">
      <c r="A352" s="32" t="s">
        <v>392</v>
      </c>
      <c r="B352" s="27">
        <v>45355</v>
      </c>
      <c r="C352" s="26" t="s">
        <v>20</v>
      </c>
      <c r="D352" s="26" t="s">
        <v>15</v>
      </c>
      <c r="E352" s="26" t="s">
        <v>27</v>
      </c>
      <c r="F352" s="28">
        <v>18726.59</v>
      </c>
      <c r="G352" s="33" t="s">
        <v>34</v>
      </c>
    </row>
    <row r="353" spans="1:7" x14ac:dyDescent="0.3">
      <c r="A353" s="32" t="s">
        <v>393</v>
      </c>
      <c r="B353" s="27">
        <v>45355</v>
      </c>
      <c r="C353" s="26" t="s">
        <v>20</v>
      </c>
      <c r="D353" s="26" t="s">
        <v>15</v>
      </c>
      <c r="E353" s="26" t="s">
        <v>31</v>
      </c>
      <c r="F353" s="28">
        <v>22901.29</v>
      </c>
      <c r="G353" s="33" t="s">
        <v>35</v>
      </c>
    </row>
    <row r="354" spans="1:7" x14ac:dyDescent="0.3">
      <c r="A354" s="32" t="s">
        <v>394</v>
      </c>
      <c r="B354" s="27">
        <v>45355</v>
      </c>
      <c r="C354" s="26" t="s">
        <v>20</v>
      </c>
      <c r="D354" s="26" t="s">
        <v>15</v>
      </c>
      <c r="E354" s="26" t="s">
        <v>27</v>
      </c>
      <c r="F354" s="28">
        <v>17154.77</v>
      </c>
      <c r="G354" s="33" t="s">
        <v>34</v>
      </c>
    </row>
    <row r="355" spans="1:7" x14ac:dyDescent="0.3">
      <c r="A355" s="32" t="s">
        <v>395</v>
      </c>
      <c r="B355" s="27">
        <v>45355</v>
      </c>
      <c r="C355" s="26" t="s">
        <v>20</v>
      </c>
      <c r="D355" s="26" t="s">
        <v>14</v>
      </c>
      <c r="E355" s="26" t="s">
        <v>46</v>
      </c>
      <c r="F355" s="28">
        <v>31114.12</v>
      </c>
      <c r="G355" s="33" t="s">
        <v>34</v>
      </c>
    </row>
    <row r="356" spans="1:7" x14ac:dyDescent="0.3">
      <c r="A356" s="32" t="s">
        <v>396</v>
      </c>
      <c r="B356" s="27">
        <v>45355</v>
      </c>
      <c r="C356" s="26" t="s">
        <v>20</v>
      </c>
      <c r="D356" s="26" t="s">
        <v>14</v>
      </c>
      <c r="E356" s="26" t="s">
        <v>46</v>
      </c>
      <c r="F356" s="28">
        <v>55033.85</v>
      </c>
      <c r="G356" s="33" t="s">
        <v>35</v>
      </c>
    </row>
    <row r="357" spans="1:7" x14ac:dyDescent="0.3">
      <c r="A357" s="32" t="s">
        <v>397</v>
      </c>
      <c r="B357" s="27">
        <v>45355</v>
      </c>
      <c r="C357" s="26" t="s">
        <v>20</v>
      </c>
      <c r="D357" s="26" t="s">
        <v>15</v>
      </c>
      <c r="E357" s="26" t="s">
        <v>28</v>
      </c>
      <c r="F357" s="28">
        <v>2716.46</v>
      </c>
      <c r="G357" s="33" t="s">
        <v>35</v>
      </c>
    </row>
    <row r="358" spans="1:7" x14ac:dyDescent="0.3">
      <c r="A358" s="32" t="s">
        <v>398</v>
      </c>
      <c r="B358" s="27">
        <v>45356</v>
      </c>
      <c r="C358" s="26" t="s">
        <v>20</v>
      </c>
      <c r="D358" s="26" t="s">
        <v>14</v>
      </c>
      <c r="E358" s="26" t="s">
        <v>46</v>
      </c>
      <c r="F358" s="28">
        <v>79901.070000000007</v>
      </c>
      <c r="G358" s="33" t="s">
        <v>34</v>
      </c>
    </row>
    <row r="359" spans="1:7" x14ac:dyDescent="0.3">
      <c r="A359" s="32" t="s">
        <v>399</v>
      </c>
      <c r="B359" s="27">
        <v>45356</v>
      </c>
      <c r="C359" s="26" t="s">
        <v>20</v>
      </c>
      <c r="D359" s="26" t="s">
        <v>15</v>
      </c>
      <c r="E359" s="26" t="s">
        <v>31</v>
      </c>
      <c r="F359" s="28">
        <v>21487.87</v>
      </c>
      <c r="G359" s="33" t="s">
        <v>34</v>
      </c>
    </row>
    <row r="360" spans="1:7" x14ac:dyDescent="0.3">
      <c r="A360" s="32" t="s">
        <v>400</v>
      </c>
      <c r="B360" s="27">
        <v>45356</v>
      </c>
      <c r="C360" s="26" t="s">
        <v>20</v>
      </c>
      <c r="D360" s="26" t="s">
        <v>15</v>
      </c>
      <c r="E360" s="26" t="s">
        <v>28</v>
      </c>
      <c r="F360" s="28">
        <v>11804.29</v>
      </c>
      <c r="G360" s="33" t="s">
        <v>34</v>
      </c>
    </row>
    <row r="361" spans="1:7" x14ac:dyDescent="0.3">
      <c r="A361" s="32" t="s">
        <v>401</v>
      </c>
      <c r="B361" s="27">
        <v>45356</v>
      </c>
      <c r="C361" s="26" t="s">
        <v>20</v>
      </c>
      <c r="D361" s="26" t="s">
        <v>15</v>
      </c>
      <c r="E361" s="26" t="s">
        <v>29</v>
      </c>
      <c r="F361" s="28">
        <v>4483.12</v>
      </c>
      <c r="G361" s="33" t="s">
        <v>35</v>
      </c>
    </row>
    <row r="362" spans="1:7" x14ac:dyDescent="0.3">
      <c r="A362" s="32" t="s">
        <v>402</v>
      </c>
      <c r="B362" s="27">
        <v>45356</v>
      </c>
      <c r="C362" s="26" t="s">
        <v>20</v>
      </c>
      <c r="D362" s="26" t="s">
        <v>15</v>
      </c>
      <c r="E362" s="26" t="s">
        <v>28</v>
      </c>
      <c r="F362" s="28">
        <v>18385.23</v>
      </c>
      <c r="G362" s="33" t="s">
        <v>35</v>
      </c>
    </row>
    <row r="363" spans="1:7" x14ac:dyDescent="0.3">
      <c r="A363" s="32" t="s">
        <v>403</v>
      </c>
      <c r="B363" s="27">
        <v>45357</v>
      </c>
      <c r="C363" s="26" t="s">
        <v>20</v>
      </c>
      <c r="D363" s="26" t="s">
        <v>15</v>
      </c>
      <c r="E363" s="26" t="s">
        <v>27</v>
      </c>
      <c r="F363" s="28">
        <v>12201.93</v>
      </c>
      <c r="G363" s="33" t="s">
        <v>36</v>
      </c>
    </row>
    <row r="364" spans="1:7" x14ac:dyDescent="0.3">
      <c r="A364" s="32" t="s">
        <v>404</v>
      </c>
      <c r="B364" s="27">
        <v>45357</v>
      </c>
      <c r="C364" s="26" t="s">
        <v>20</v>
      </c>
      <c r="D364" s="26" t="s">
        <v>15</v>
      </c>
      <c r="E364" s="26" t="s">
        <v>31</v>
      </c>
      <c r="F364" s="28">
        <v>22683.14</v>
      </c>
      <c r="G364" s="33" t="s">
        <v>34</v>
      </c>
    </row>
    <row r="365" spans="1:7" x14ac:dyDescent="0.3">
      <c r="A365" s="32" t="s">
        <v>405</v>
      </c>
      <c r="B365" s="27">
        <v>45358</v>
      </c>
      <c r="C365" s="26" t="s">
        <v>20</v>
      </c>
      <c r="D365" s="26" t="s">
        <v>15</v>
      </c>
      <c r="E365" s="26" t="s">
        <v>28</v>
      </c>
      <c r="F365" s="28">
        <v>9408.57</v>
      </c>
      <c r="G365" s="33" t="s">
        <v>34</v>
      </c>
    </row>
    <row r="366" spans="1:7" x14ac:dyDescent="0.3">
      <c r="A366" s="32" t="s">
        <v>406</v>
      </c>
      <c r="B366" s="27">
        <v>45358</v>
      </c>
      <c r="C366" s="26" t="s">
        <v>20</v>
      </c>
      <c r="D366" s="26" t="s">
        <v>15</v>
      </c>
      <c r="E366" s="26" t="s">
        <v>31</v>
      </c>
      <c r="F366" s="28">
        <v>5411.68</v>
      </c>
      <c r="G366" s="33" t="s">
        <v>34</v>
      </c>
    </row>
    <row r="367" spans="1:7" x14ac:dyDescent="0.3">
      <c r="A367" s="32" t="s">
        <v>407</v>
      </c>
      <c r="B367" s="27">
        <v>45358</v>
      </c>
      <c r="C367" s="26" t="s">
        <v>20</v>
      </c>
      <c r="D367" s="26" t="s">
        <v>15</v>
      </c>
      <c r="E367" s="26" t="s">
        <v>27</v>
      </c>
      <c r="F367" s="28">
        <v>4902.41</v>
      </c>
      <c r="G367" s="33" t="s">
        <v>34</v>
      </c>
    </row>
    <row r="368" spans="1:7" x14ac:dyDescent="0.3">
      <c r="A368" s="32" t="s">
        <v>408</v>
      </c>
      <c r="B368" s="27">
        <v>45358</v>
      </c>
      <c r="C368" s="26" t="s">
        <v>20</v>
      </c>
      <c r="D368" s="26" t="s">
        <v>15</v>
      </c>
      <c r="E368" s="26" t="s">
        <v>27</v>
      </c>
      <c r="F368" s="28">
        <v>16359.3</v>
      </c>
      <c r="G368" s="33" t="s">
        <v>34</v>
      </c>
    </row>
    <row r="369" spans="1:7" x14ac:dyDescent="0.3">
      <c r="A369" s="32" t="s">
        <v>409</v>
      </c>
      <c r="B369" s="27">
        <v>45358</v>
      </c>
      <c r="C369" s="26" t="s">
        <v>20</v>
      </c>
      <c r="D369" s="26" t="s">
        <v>15</v>
      </c>
      <c r="E369" s="26" t="s">
        <v>27</v>
      </c>
      <c r="F369" s="28">
        <v>15463.39</v>
      </c>
      <c r="G369" s="33" t="s">
        <v>36</v>
      </c>
    </row>
    <row r="370" spans="1:7" x14ac:dyDescent="0.3">
      <c r="A370" s="32" t="s">
        <v>410</v>
      </c>
      <c r="B370" s="27">
        <v>45359</v>
      </c>
      <c r="C370" s="26" t="s">
        <v>20</v>
      </c>
      <c r="D370" s="26" t="s">
        <v>14</v>
      </c>
      <c r="E370" s="26" t="s">
        <v>46</v>
      </c>
      <c r="F370" s="28">
        <v>59850.7</v>
      </c>
      <c r="G370" s="33" t="s">
        <v>34</v>
      </c>
    </row>
    <row r="371" spans="1:7" x14ac:dyDescent="0.3">
      <c r="A371" s="32" t="s">
        <v>411</v>
      </c>
      <c r="B371" s="27">
        <v>45359</v>
      </c>
      <c r="C371" s="26" t="s">
        <v>20</v>
      </c>
      <c r="D371" s="26" t="s">
        <v>14</v>
      </c>
      <c r="E371" s="26" t="s">
        <v>46</v>
      </c>
      <c r="F371" s="28">
        <v>36663.31</v>
      </c>
      <c r="G371" s="33" t="s">
        <v>34</v>
      </c>
    </row>
    <row r="372" spans="1:7" x14ac:dyDescent="0.3">
      <c r="A372" s="32" t="s">
        <v>412</v>
      </c>
      <c r="B372" s="27">
        <v>45359</v>
      </c>
      <c r="C372" s="26" t="s">
        <v>20</v>
      </c>
      <c r="D372" s="26" t="s">
        <v>14</v>
      </c>
      <c r="E372" s="26" t="s">
        <v>46</v>
      </c>
      <c r="F372" s="28">
        <v>51817.43</v>
      </c>
      <c r="G372" s="33" t="s">
        <v>35</v>
      </c>
    </row>
    <row r="373" spans="1:7" x14ac:dyDescent="0.3">
      <c r="A373" s="32" t="s">
        <v>413</v>
      </c>
      <c r="B373" s="27">
        <v>45359</v>
      </c>
      <c r="C373" s="26" t="s">
        <v>20</v>
      </c>
      <c r="D373" s="26" t="s">
        <v>14</v>
      </c>
      <c r="E373" s="26" t="s">
        <v>46</v>
      </c>
      <c r="F373" s="28">
        <v>30642.84</v>
      </c>
      <c r="G373" s="33" t="s">
        <v>34</v>
      </c>
    </row>
    <row r="374" spans="1:7" x14ac:dyDescent="0.3">
      <c r="A374" s="32" t="s">
        <v>414</v>
      </c>
      <c r="B374" s="27">
        <v>45359</v>
      </c>
      <c r="C374" s="26" t="s">
        <v>20</v>
      </c>
      <c r="D374" s="26" t="s">
        <v>14</v>
      </c>
      <c r="E374" s="26" t="s">
        <v>46</v>
      </c>
      <c r="F374" s="28">
        <v>45388.58</v>
      </c>
      <c r="G374" s="33" t="s">
        <v>35</v>
      </c>
    </row>
    <row r="375" spans="1:7" x14ac:dyDescent="0.3">
      <c r="A375" s="32" t="s">
        <v>415</v>
      </c>
      <c r="B375" s="27">
        <v>45359</v>
      </c>
      <c r="C375" s="26" t="s">
        <v>20</v>
      </c>
      <c r="D375" s="26" t="s">
        <v>15</v>
      </c>
      <c r="E375" s="26" t="s">
        <v>29</v>
      </c>
      <c r="F375" s="28">
        <v>11894.58</v>
      </c>
      <c r="G375" s="33" t="s">
        <v>34</v>
      </c>
    </row>
    <row r="376" spans="1:7" x14ac:dyDescent="0.3">
      <c r="A376" s="32" t="s">
        <v>416</v>
      </c>
      <c r="B376" s="27">
        <v>45359</v>
      </c>
      <c r="C376" s="26" t="s">
        <v>20</v>
      </c>
      <c r="D376" s="26" t="s">
        <v>14</v>
      </c>
      <c r="E376" s="26" t="s">
        <v>46</v>
      </c>
      <c r="F376" s="28">
        <v>65516.73</v>
      </c>
      <c r="G376" s="33" t="s">
        <v>34</v>
      </c>
    </row>
    <row r="377" spans="1:7" x14ac:dyDescent="0.3">
      <c r="A377" s="32" t="s">
        <v>417</v>
      </c>
      <c r="B377" s="27">
        <v>45359</v>
      </c>
      <c r="C377" s="26" t="s">
        <v>20</v>
      </c>
      <c r="D377" s="26" t="s">
        <v>14</v>
      </c>
      <c r="E377" s="26" t="s">
        <v>46</v>
      </c>
      <c r="F377" s="28">
        <v>18008.990000000002</v>
      </c>
      <c r="G377" s="33" t="s">
        <v>34</v>
      </c>
    </row>
    <row r="378" spans="1:7" x14ac:dyDescent="0.3">
      <c r="A378" s="32" t="s">
        <v>418</v>
      </c>
      <c r="B378" s="27">
        <v>45359</v>
      </c>
      <c r="C378" s="26" t="s">
        <v>20</v>
      </c>
      <c r="D378" s="26" t="s">
        <v>15</v>
      </c>
      <c r="E378" s="26" t="s">
        <v>28</v>
      </c>
      <c r="F378" s="28">
        <v>17058.400000000001</v>
      </c>
      <c r="G378" s="33" t="s">
        <v>34</v>
      </c>
    </row>
    <row r="379" spans="1:7" x14ac:dyDescent="0.3">
      <c r="A379" s="32" t="s">
        <v>419</v>
      </c>
      <c r="B379" s="27">
        <v>45359</v>
      </c>
      <c r="C379" s="26" t="s">
        <v>20</v>
      </c>
      <c r="D379" s="26" t="s">
        <v>14</v>
      </c>
      <c r="E379" s="26" t="s">
        <v>46</v>
      </c>
      <c r="F379" s="28">
        <v>71439.429999999993</v>
      </c>
      <c r="G379" s="33" t="s">
        <v>36</v>
      </c>
    </row>
    <row r="380" spans="1:7" x14ac:dyDescent="0.3">
      <c r="A380" s="32" t="s">
        <v>420</v>
      </c>
      <c r="B380" s="27">
        <v>45359</v>
      </c>
      <c r="C380" s="26" t="s">
        <v>20</v>
      </c>
      <c r="D380" s="26" t="s">
        <v>15</v>
      </c>
      <c r="E380" s="26" t="s">
        <v>31</v>
      </c>
      <c r="F380" s="28">
        <v>14680.71</v>
      </c>
      <c r="G380" s="33" t="s">
        <v>34</v>
      </c>
    </row>
    <row r="381" spans="1:7" x14ac:dyDescent="0.3">
      <c r="A381" s="32" t="s">
        <v>421</v>
      </c>
      <c r="B381" s="27">
        <v>45359</v>
      </c>
      <c r="C381" s="26" t="s">
        <v>20</v>
      </c>
      <c r="D381" s="26" t="s">
        <v>14</v>
      </c>
      <c r="E381" s="26" t="s">
        <v>46</v>
      </c>
      <c r="F381" s="28">
        <v>70584.460000000006</v>
      </c>
      <c r="G381" s="33" t="s">
        <v>34</v>
      </c>
    </row>
    <row r="382" spans="1:7" x14ac:dyDescent="0.3">
      <c r="A382" s="32" t="s">
        <v>422</v>
      </c>
      <c r="B382" s="27">
        <v>45359</v>
      </c>
      <c r="C382" s="26" t="s">
        <v>20</v>
      </c>
      <c r="D382" s="26" t="s">
        <v>14</v>
      </c>
      <c r="E382" s="26" t="s">
        <v>46</v>
      </c>
      <c r="F382" s="28">
        <v>40104.9</v>
      </c>
      <c r="G382" s="33" t="s">
        <v>34</v>
      </c>
    </row>
    <row r="383" spans="1:7" x14ac:dyDescent="0.3">
      <c r="A383" s="32" t="s">
        <v>423</v>
      </c>
      <c r="B383" s="27">
        <v>45359</v>
      </c>
      <c r="C383" s="26" t="s">
        <v>20</v>
      </c>
      <c r="D383" s="26" t="s">
        <v>15</v>
      </c>
      <c r="E383" s="26" t="s">
        <v>28</v>
      </c>
      <c r="F383" s="28">
        <v>22426.09</v>
      </c>
      <c r="G383" s="33" t="s">
        <v>34</v>
      </c>
    </row>
    <row r="384" spans="1:7" x14ac:dyDescent="0.3">
      <c r="A384" s="32" t="s">
        <v>424</v>
      </c>
      <c r="B384" s="27">
        <v>45360</v>
      </c>
      <c r="C384" s="26" t="s">
        <v>20</v>
      </c>
      <c r="D384" s="26" t="s">
        <v>15</v>
      </c>
      <c r="E384" s="26" t="s">
        <v>31</v>
      </c>
      <c r="F384" s="28">
        <v>11517.71</v>
      </c>
      <c r="G384" s="33" t="s">
        <v>35</v>
      </c>
    </row>
    <row r="385" spans="1:7" x14ac:dyDescent="0.3">
      <c r="A385" s="32" t="s">
        <v>425</v>
      </c>
      <c r="B385" s="27">
        <v>45360</v>
      </c>
      <c r="C385" s="26" t="s">
        <v>20</v>
      </c>
      <c r="D385" s="26" t="s">
        <v>15</v>
      </c>
      <c r="E385" s="26" t="s">
        <v>27</v>
      </c>
      <c r="F385" s="28">
        <v>21030.639999999999</v>
      </c>
      <c r="G385" s="33" t="s">
        <v>34</v>
      </c>
    </row>
    <row r="386" spans="1:7" x14ac:dyDescent="0.3">
      <c r="A386" s="32" t="s">
        <v>426</v>
      </c>
      <c r="B386" s="27">
        <v>45360</v>
      </c>
      <c r="C386" s="26" t="s">
        <v>20</v>
      </c>
      <c r="D386" s="26" t="s">
        <v>15</v>
      </c>
      <c r="E386" s="26" t="s">
        <v>31</v>
      </c>
      <c r="F386" s="28">
        <v>11170.79</v>
      </c>
      <c r="G386" s="33" t="s">
        <v>35</v>
      </c>
    </row>
    <row r="387" spans="1:7" x14ac:dyDescent="0.3">
      <c r="A387" s="32" t="s">
        <v>427</v>
      </c>
      <c r="B387" s="27">
        <v>45360</v>
      </c>
      <c r="C387" s="26" t="s">
        <v>20</v>
      </c>
      <c r="D387" s="26" t="s">
        <v>15</v>
      </c>
      <c r="E387" s="26" t="s">
        <v>30</v>
      </c>
      <c r="F387" s="28">
        <v>18781.09</v>
      </c>
      <c r="G387" s="33" t="s">
        <v>36</v>
      </c>
    </row>
    <row r="388" spans="1:7" x14ac:dyDescent="0.3">
      <c r="A388" s="32" t="s">
        <v>428</v>
      </c>
      <c r="B388" s="27">
        <v>45360</v>
      </c>
      <c r="C388" s="26" t="s">
        <v>20</v>
      </c>
      <c r="D388" s="26" t="s">
        <v>14</v>
      </c>
      <c r="E388" s="26" t="s">
        <v>46</v>
      </c>
      <c r="F388" s="28">
        <v>31878.38</v>
      </c>
      <c r="G388" s="33" t="s">
        <v>34</v>
      </c>
    </row>
    <row r="389" spans="1:7" x14ac:dyDescent="0.3">
      <c r="A389" s="32" t="s">
        <v>429</v>
      </c>
      <c r="B389" s="27">
        <v>45361</v>
      </c>
      <c r="C389" s="26" t="s">
        <v>20</v>
      </c>
      <c r="D389" s="26" t="s">
        <v>14</v>
      </c>
      <c r="E389" s="26" t="s">
        <v>46</v>
      </c>
      <c r="F389" s="28">
        <v>31876.65</v>
      </c>
      <c r="G389" s="33" t="s">
        <v>36</v>
      </c>
    </row>
    <row r="390" spans="1:7" x14ac:dyDescent="0.3">
      <c r="A390" s="32" t="s">
        <v>430</v>
      </c>
      <c r="B390" s="27">
        <v>45361</v>
      </c>
      <c r="C390" s="26" t="s">
        <v>20</v>
      </c>
      <c r="D390" s="26" t="s">
        <v>15</v>
      </c>
      <c r="E390" s="26" t="s">
        <v>30</v>
      </c>
      <c r="F390" s="28">
        <v>7862.47</v>
      </c>
      <c r="G390" s="33" t="s">
        <v>34</v>
      </c>
    </row>
    <row r="391" spans="1:7" x14ac:dyDescent="0.3">
      <c r="A391" s="32" t="s">
        <v>431</v>
      </c>
      <c r="B391" s="27">
        <v>45361</v>
      </c>
      <c r="C391" s="26" t="s">
        <v>20</v>
      </c>
      <c r="D391" s="26" t="s">
        <v>15</v>
      </c>
      <c r="E391" s="26" t="s">
        <v>30</v>
      </c>
      <c r="F391" s="28">
        <v>23932.63</v>
      </c>
      <c r="G391" s="33" t="s">
        <v>34</v>
      </c>
    </row>
    <row r="392" spans="1:7" x14ac:dyDescent="0.3">
      <c r="A392" s="32" t="s">
        <v>432</v>
      </c>
      <c r="B392" s="27">
        <v>45361</v>
      </c>
      <c r="C392" s="26" t="s">
        <v>20</v>
      </c>
      <c r="D392" s="26" t="s">
        <v>15</v>
      </c>
      <c r="E392" s="26" t="s">
        <v>30</v>
      </c>
      <c r="F392" s="28">
        <v>17796.88</v>
      </c>
      <c r="G392" s="33" t="s">
        <v>34</v>
      </c>
    </row>
    <row r="393" spans="1:7" x14ac:dyDescent="0.3">
      <c r="A393" s="32" t="s">
        <v>433</v>
      </c>
      <c r="B393" s="27">
        <v>45361</v>
      </c>
      <c r="C393" s="26" t="s">
        <v>20</v>
      </c>
      <c r="D393" s="26" t="s">
        <v>15</v>
      </c>
      <c r="E393" s="26" t="s">
        <v>29</v>
      </c>
      <c r="F393" s="28">
        <v>12908.16</v>
      </c>
      <c r="G393" s="33" t="s">
        <v>35</v>
      </c>
    </row>
    <row r="394" spans="1:7" x14ac:dyDescent="0.3">
      <c r="A394" s="32" t="s">
        <v>434</v>
      </c>
      <c r="B394" s="27">
        <v>45361</v>
      </c>
      <c r="C394" s="26" t="s">
        <v>20</v>
      </c>
      <c r="D394" s="26" t="s">
        <v>15</v>
      </c>
      <c r="E394" s="26" t="s">
        <v>27</v>
      </c>
      <c r="F394" s="28">
        <v>4098.17</v>
      </c>
      <c r="G394" s="33" t="s">
        <v>36</v>
      </c>
    </row>
    <row r="395" spans="1:7" x14ac:dyDescent="0.3">
      <c r="A395" s="32" t="s">
        <v>435</v>
      </c>
      <c r="B395" s="27">
        <v>45362</v>
      </c>
      <c r="C395" s="26" t="s">
        <v>20</v>
      </c>
      <c r="D395" s="26" t="s">
        <v>15</v>
      </c>
      <c r="E395" s="26" t="s">
        <v>27</v>
      </c>
      <c r="F395" s="28">
        <v>3963.38</v>
      </c>
      <c r="G395" s="33" t="s">
        <v>34</v>
      </c>
    </row>
    <row r="396" spans="1:7" x14ac:dyDescent="0.3">
      <c r="A396" s="32" t="s">
        <v>436</v>
      </c>
      <c r="B396" s="27">
        <v>45362</v>
      </c>
      <c r="C396" s="26" t="s">
        <v>20</v>
      </c>
      <c r="D396" s="26" t="s">
        <v>14</v>
      </c>
      <c r="E396" s="26" t="s">
        <v>46</v>
      </c>
      <c r="F396" s="28">
        <v>40231.360000000001</v>
      </c>
      <c r="G396" s="33" t="s">
        <v>35</v>
      </c>
    </row>
    <row r="397" spans="1:7" x14ac:dyDescent="0.3">
      <c r="A397" s="32" t="s">
        <v>437</v>
      </c>
      <c r="B397" s="27">
        <v>45362</v>
      </c>
      <c r="C397" s="26" t="s">
        <v>20</v>
      </c>
      <c r="D397" s="26" t="s">
        <v>15</v>
      </c>
      <c r="E397" s="26" t="s">
        <v>31</v>
      </c>
      <c r="F397" s="28">
        <v>19125.55</v>
      </c>
      <c r="G397" s="33" t="s">
        <v>34</v>
      </c>
    </row>
    <row r="398" spans="1:7" x14ac:dyDescent="0.3">
      <c r="A398" s="32" t="s">
        <v>438</v>
      </c>
      <c r="B398" s="27">
        <v>45362</v>
      </c>
      <c r="C398" s="26" t="s">
        <v>20</v>
      </c>
      <c r="D398" s="26" t="s">
        <v>15</v>
      </c>
      <c r="E398" s="26" t="s">
        <v>29</v>
      </c>
      <c r="F398" s="28">
        <v>10570.88</v>
      </c>
      <c r="G398" s="33" t="s">
        <v>34</v>
      </c>
    </row>
    <row r="399" spans="1:7" x14ac:dyDescent="0.3">
      <c r="A399" s="32" t="s">
        <v>439</v>
      </c>
      <c r="B399" s="27">
        <v>45362</v>
      </c>
      <c r="C399" s="26" t="s">
        <v>20</v>
      </c>
      <c r="D399" s="26" t="s">
        <v>15</v>
      </c>
      <c r="E399" s="26" t="s">
        <v>30</v>
      </c>
      <c r="F399" s="28">
        <v>4992.66</v>
      </c>
      <c r="G399" s="33" t="s">
        <v>34</v>
      </c>
    </row>
    <row r="400" spans="1:7" x14ac:dyDescent="0.3">
      <c r="A400" s="32" t="s">
        <v>440</v>
      </c>
      <c r="B400" s="27">
        <v>45362</v>
      </c>
      <c r="C400" s="26" t="s">
        <v>20</v>
      </c>
      <c r="D400" s="26" t="s">
        <v>15</v>
      </c>
      <c r="E400" s="26" t="s">
        <v>28</v>
      </c>
      <c r="F400" s="28">
        <v>3379.56</v>
      </c>
      <c r="G400" s="33" t="s">
        <v>36</v>
      </c>
    </row>
    <row r="401" spans="1:7" x14ac:dyDescent="0.3">
      <c r="A401" s="32" t="s">
        <v>441</v>
      </c>
      <c r="B401" s="27">
        <v>45362</v>
      </c>
      <c r="C401" s="26" t="s">
        <v>20</v>
      </c>
      <c r="D401" s="26" t="s">
        <v>15</v>
      </c>
      <c r="E401" s="26" t="s">
        <v>27</v>
      </c>
      <c r="F401" s="28">
        <v>24002.37</v>
      </c>
      <c r="G401" s="33" t="s">
        <v>34</v>
      </c>
    </row>
    <row r="402" spans="1:7" x14ac:dyDescent="0.3">
      <c r="A402" s="32" t="s">
        <v>442</v>
      </c>
      <c r="B402" s="27">
        <v>45363</v>
      </c>
      <c r="C402" s="26" t="s">
        <v>20</v>
      </c>
      <c r="D402" s="26" t="s">
        <v>14</v>
      </c>
      <c r="E402" s="26" t="s">
        <v>46</v>
      </c>
      <c r="F402" s="28">
        <v>49317.84</v>
      </c>
      <c r="G402" s="33" t="s">
        <v>34</v>
      </c>
    </row>
    <row r="403" spans="1:7" x14ac:dyDescent="0.3">
      <c r="A403" s="32" t="s">
        <v>443</v>
      </c>
      <c r="B403" s="27">
        <v>45363</v>
      </c>
      <c r="C403" s="26" t="s">
        <v>20</v>
      </c>
      <c r="D403" s="26" t="s">
        <v>15</v>
      </c>
      <c r="E403" s="26" t="s">
        <v>27</v>
      </c>
      <c r="F403" s="28">
        <v>17410.310000000001</v>
      </c>
      <c r="G403" s="33" t="s">
        <v>34</v>
      </c>
    </row>
    <row r="404" spans="1:7" x14ac:dyDescent="0.3">
      <c r="A404" s="32" t="s">
        <v>444</v>
      </c>
      <c r="B404" s="27">
        <v>45363</v>
      </c>
      <c r="C404" s="26" t="s">
        <v>20</v>
      </c>
      <c r="D404" s="26" t="s">
        <v>15</v>
      </c>
      <c r="E404" s="26" t="s">
        <v>29</v>
      </c>
      <c r="F404" s="28">
        <v>11448.6</v>
      </c>
      <c r="G404" s="33" t="s">
        <v>34</v>
      </c>
    </row>
    <row r="405" spans="1:7" x14ac:dyDescent="0.3">
      <c r="A405" s="32" t="s">
        <v>445</v>
      </c>
      <c r="B405" s="27">
        <v>45363</v>
      </c>
      <c r="C405" s="26" t="s">
        <v>20</v>
      </c>
      <c r="D405" s="26" t="s">
        <v>15</v>
      </c>
      <c r="E405" s="26" t="s">
        <v>28</v>
      </c>
      <c r="F405" s="28">
        <v>22092.97</v>
      </c>
      <c r="G405" s="33" t="s">
        <v>34</v>
      </c>
    </row>
    <row r="406" spans="1:7" x14ac:dyDescent="0.3">
      <c r="A406" s="32" t="s">
        <v>446</v>
      </c>
      <c r="B406" s="27">
        <v>45363</v>
      </c>
      <c r="C406" s="26" t="s">
        <v>20</v>
      </c>
      <c r="D406" s="26" t="s">
        <v>14</v>
      </c>
      <c r="E406" s="26" t="s">
        <v>46</v>
      </c>
      <c r="F406" s="28">
        <v>75879.09</v>
      </c>
      <c r="G406" s="33" t="s">
        <v>34</v>
      </c>
    </row>
    <row r="407" spans="1:7" x14ac:dyDescent="0.3">
      <c r="A407" s="32" t="s">
        <v>447</v>
      </c>
      <c r="B407" s="27">
        <v>45363</v>
      </c>
      <c r="C407" s="26" t="s">
        <v>20</v>
      </c>
      <c r="D407" s="26" t="s">
        <v>15</v>
      </c>
      <c r="E407" s="26" t="s">
        <v>27</v>
      </c>
      <c r="F407" s="28">
        <v>11727.55</v>
      </c>
      <c r="G407" s="33" t="s">
        <v>35</v>
      </c>
    </row>
    <row r="408" spans="1:7" x14ac:dyDescent="0.3">
      <c r="A408" s="32" t="s">
        <v>448</v>
      </c>
      <c r="B408" s="27">
        <v>45363</v>
      </c>
      <c r="C408" s="26" t="s">
        <v>20</v>
      </c>
      <c r="D408" s="26" t="s">
        <v>15</v>
      </c>
      <c r="E408" s="26" t="s">
        <v>28</v>
      </c>
      <c r="F408" s="28">
        <v>23064.400000000001</v>
      </c>
      <c r="G408" s="33" t="s">
        <v>34</v>
      </c>
    </row>
    <row r="409" spans="1:7" x14ac:dyDescent="0.3">
      <c r="A409" s="32" t="s">
        <v>449</v>
      </c>
      <c r="B409" s="27">
        <v>45363</v>
      </c>
      <c r="C409" s="26" t="s">
        <v>20</v>
      </c>
      <c r="D409" s="26" t="s">
        <v>14</v>
      </c>
      <c r="E409" s="26" t="s">
        <v>46</v>
      </c>
      <c r="F409" s="28">
        <v>13601.23</v>
      </c>
      <c r="G409" s="33" t="s">
        <v>34</v>
      </c>
    </row>
    <row r="410" spans="1:7" x14ac:dyDescent="0.3">
      <c r="A410" s="32" t="s">
        <v>450</v>
      </c>
      <c r="B410" s="27">
        <v>45363</v>
      </c>
      <c r="C410" s="26" t="s">
        <v>20</v>
      </c>
      <c r="D410" s="26" t="s">
        <v>15</v>
      </c>
      <c r="E410" s="26" t="s">
        <v>27</v>
      </c>
      <c r="F410" s="28">
        <v>8615.48</v>
      </c>
      <c r="G410" s="33" t="s">
        <v>34</v>
      </c>
    </row>
    <row r="411" spans="1:7" x14ac:dyDescent="0.3">
      <c r="A411" s="32" t="s">
        <v>451</v>
      </c>
      <c r="B411" s="27">
        <v>45363</v>
      </c>
      <c r="C411" s="26" t="s">
        <v>20</v>
      </c>
      <c r="D411" s="26" t="s">
        <v>14</v>
      </c>
      <c r="E411" s="26" t="s">
        <v>46</v>
      </c>
      <c r="F411" s="28">
        <v>31871.42</v>
      </c>
      <c r="G411" s="33" t="s">
        <v>35</v>
      </c>
    </row>
    <row r="412" spans="1:7" x14ac:dyDescent="0.3">
      <c r="A412" s="32" t="s">
        <v>452</v>
      </c>
      <c r="B412" s="27">
        <v>45364</v>
      </c>
      <c r="C412" s="26" t="s">
        <v>20</v>
      </c>
      <c r="D412" s="26" t="s">
        <v>14</v>
      </c>
      <c r="E412" s="26" t="s">
        <v>46</v>
      </c>
      <c r="F412" s="28">
        <v>17252.04</v>
      </c>
      <c r="G412" s="33" t="s">
        <v>35</v>
      </c>
    </row>
    <row r="413" spans="1:7" x14ac:dyDescent="0.3">
      <c r="A413" s="32" t="s">
        <v>453</v>
      </c>
      <c r="B413" s="27">
        <v>45364</v>
      </c>
      <c r="C413" s="26" t="s">
        <v>20</v>
      </c>
      <c r="D413" s="26" t="s">
        <v>15</v>
      </c>
      <c r="E413" s="26" t="s">
        <v>28</v>
      </c>
      <c r="F413" s="28">
        <v>13670.49</v>
      </c>
      <c r="G413" s="33" t="s">
        <v>34</v>
      </c>
    </row>
    <row r="414" spans="1:7" x14ac:dyDescent="0.3">
      <c r="A414" s="32" t="s">
        <v>454</v>
      </c>
      <c r="B414" s="27">
        <v>45364</v>
      </c>
      <c r="C414" s="26" t="s">
        <v>20</v>
      </c>
      <c r="D414" s="26" t="s">
        <v>15</v>
      </c>
      <c r="E414" s="26" t="s">
        <v>27</v>
      </c>
      <c r="F414" s="28">
        <v>5558.79</v>
      </c>
      <c r="G414" s="33" t="s">
        <v>35</v>
      </c>
    </row>
    <row r="415" spans="1:7" x14ac:dyDescent="0.3">
      <c r="A415" s="32" t="s">
        <v>455</v>
      </c>
      <c r="B415" s="27">
        <v>45364</v>
      </c>
      <c r="C415" s="26" t="s">
        <v>20</v>
      </c>
      <c r="D415" s="26" t="s">
        <v>15</v>
      </c>
      <c r="E415" s="26" t="s">
        <v>30</v>
      </c>
      <c r="F415" s="28">
        <v>13090.36</v>
      </c>
      <c r="G415" s="33" t="s">
        <v>34</v>
      </c>
    </row>
    <row r="416" spans="1:7" x14ac:dyDescent="0.3">
      <c r="A416" s="32" t="s">
        <v>456</v>
      </c>
      <c r="B416" s="27">
        <v>45364</v>
      </c>
      <c r="C416" s="26" t="s">
        <v>20</v>
      </c>
      <c r="D416" s="26" t="s">
        <v>15</v>
      </c>
      <c r="E416" s="26" t="s">
        <v>27</v>
      </c>
      <c r="F416" s="28">
        <v>21487.32</v>
      </c>
      <c r="G416" s="33" t="s">
        <v>34</v>
      </c>
    </row>
    <row r="417" spans="1:7" x14ac:dyDescent="0.3">
      <c r="A417" s="32" t="s">
        <v>457</v>
      </c>
      <c r="B417" s="27">
        <v>45364</v>
      </c>
      <c r="C417" s="26" t="s">
        <v>20</v>
      </c>
      <c r="D417" s="26" t="s">
        <v>15</v>
      </c>
      <c r="E417" s="26" t="s">
        <v>28</v>
      </c>
      <c r="F417" s="28">
        <v>10052.620000000001</v>
      </c>
      <c r="G417" s="33" t="s">
        <v>34</v>
      </c>
    </row>
    <row r="418" spans="1:7" x14ac:dyDescent="0.3">
      <c r="A418" s="32" t="s">
        <v>458</v>
      </c>
      <c r="B418" s="27">
        <v>45365</v>
      </c>
      <c r="C418" s="26" t="s">
        <v>20</v>
      </c>
      <c r="D418" s="26" t="s">
        <v>14</v>
      </c>
      <c r="E418" s="26" t="s">
        <v>46</v>
      </c>
      <c r="F418" s="28">
        <v>48938.58</v>
      </c>
      <c r="G418" s="33" t="s">
        <v>34</v>
      </c>
    </row>
    <row r="419" spans="1:7" x14ac:dyDescent="0.3">
      <c r="A419" s="32" t="s">
        <v>459</v>
      </c>
      <c r="B419" s="27">
        <v>45365</v>
      </c>
      <c r="C419" s="26" t="s">
        <v>20</v>
      </c>
      <c r="D419" s="26" t="s">
        <v>14</v>
      </c>
      <c r="E419" s="26" t="s">
        <v>46</v>
      </c>
      <c r="F419" s="28">
        <v>18041.97</v>
      </c>
      <c r="G419" s="33" t="s">
        <v>34</v>
      </c>
    </row>
    <row r="420" spans="1:7" x14ac:dyDescent="0.3">
      <c r="A420" s="32" t="s">
        <v>460</v>
      </c>
      <c r="B420" s="27">
        <v>45365</v>
      </c>
      <c r="C420" s="26" t="s">
        <v>20</v>
      </c>
      <c r="D420" s="26" t="s">
        <v>15</v>
      </c>
      <c r="E420" s="26" t="s">
        <v>27</v>
      </c>
      <c r="F420" s="28">
        <v>8407.07</v>
      </c>
      <c r="G420" s="33" t="s">
        <v>36</v>
      </c>
    </row>
    <row r="421" spans="1:7" x14ac:dyDescent="0.3">
      <c r="A421" s="32" t="s">
        <v>461</v>
      </c>
      <c r="B421" s="27">
        <v>45365</v>
      </c>
      <c r="C421" s="26" t="s">
        <v>20</v>
      </c>
      <c r="D421" s="26" t="s">
        <v>15</v>
      </c>
      <c r="E421" s="26" t="s">
        <v>27</v>
      </c>
      <c r="F421" s="28">
        <v>7201.66</v>
      </c>
      <c r="G421" s="33" t="s">
        <v>35</v>
      </c>
    </row>
    <row r="422" spans="1:7" x14ac:dyDescent="0.3">
      <c r="A422" s="32" t="s">
        <v>462</v>
      </c>
      <c r="B422" s="27">
        <v>45366</v>
      </c>
      <c r="C422" s="26" t="s">
        <v>20</v>
      </c>
      <c r="D422" s="26" t="s">
        <v>15</v>
      </c>
      <c r="E422" s="26" t="s">
        <v>28</v>
      </c>
      <c r="F422" s="28">
        <v>11869.59</v>
      </c>
      <c r="G422" s="33" t="s">
        <v>35</v>
      </c>
    </row>
    <row r="423" spans="1:7" x14ac:dyDescent="0.3">
      <c r="A423" s="32" t="s">
        <v>463</v>
      </c>
      <c r="B423" s="27">
        <v>45366</v>
      </c>
      <c r="C423" s="26" t="s">
        <v>20</v>
      </c>
      <c r="D423" s="26" t="s">
        <v>15</v>
      </c>
      <c r="E423" s="26" t="s">
        <v>28</v>
      </c>
      <c r="F423" s="28">
        <v>14902.21</v>
      </c>
      <c r="G423" s="33" t="s">
        <v>34</v>
      </c>
    </row>
    <row r="424" spans="1:7" x14ac:dyDescent="0.3">
      <c r="A424" s="32" t="s">
        <v>464</v>
      </c>
      <c r="B424" s="27">
        <v>45366</v>
      </c>
      <c r="C424" s="26" t="s">
        <v>20</v>
      </c>
      <c r="D424" s="26" t="s">
        <v>14</v>
      </c>
      <c r="E424" s="26" t="s">
        <v>46</v>
      </c>
      <c r="F424" s="28">
        <v>63720.28</v>
      </c>
      <c r="G424" s="33" t="s">
        <v>34</v>
      </c>
    </row>
    <row r="425" spans="1:7" x14ac:dyDescent="0.3">
      <c r="A425" s="32" t="s">
        <v>465</v>
      </c>
      <c r="B425" s="27">
        <v>45367</v>
      </c>
      <c r="C425" s="26" t="s">
        <v>20</v>
      </c>
      <c r="D425" s="26" t="s">
        <v>15</v>
      </c>
      <c r="E425" s="26" t="s">
        <v>29</v>
      </c>
      <c r="F425" s="28">
        <v>16299.65</v>
      </c>
      <c r="G425" s="33" t="s">
        <v>35</v>
      </c>
    </row>
    <row r="426" spans="1:7" x14ac:dyDescent="0.3">
      <c r="A426" s="32" t="s">
        <v>466</v>
      </c>
      <c r="B426" s="27">
        <v>45367</v>
      </c>
      <c r="C426" s="26" t="s">
        <v>20</v>
      </c>
      <c r="D426" s="26" t="s">
        <v>14</v>
      </c>
      <c r="E426" s="26" t="s">
        <v>46</v>
      </c>
      <c r="F426" s="28">
        <v>57248.37</v>
      </c>
      <c r="G426" s="33" t="s">
        <v>34</v>
      </c>
    </row>
    <row r="427" spans="1:7" x14ac:dyDescent="0.3">
      <c r="A427" s="32" t="s">
        <v>467</v>
      </c>
      <c r="B427" s="27">
        <v>45367</v>
      </c>
      <c r="C427" s="26" t="s">
        <v>20</v>
      </c>
      <c r="D427" s="26" t="s">
        <v>15</v>
      </c>
      <c r="E427" s="26" t="s">
        <v>27</v>
      </c>
      <c r="F427" s="28">
        <v>14805.01</v>
      </c>
      <c r="G427" s="33" t="s">
        <v>34</v>
      </c>
    </row>
    <row r="428" spans="1:7" x14ac:dyDescent="0.3">
      <c r="A428" s="32" t="s">
        <v>468</v>
      </c>
      <c r="B428" s="27">
        <v>45367</v>
      </c>
      <c r="C428" s="26" t="s">
        <v>20</v>
      </c>
      <c r="D428" s="26" t="s">
        <v>15</v>
      </c>
      <c r="E428" s="26" t="s">
        <v>29</v>
      </c>
      <c r="F428" s="28">
        <v>16006.88</v>
      </c>
      <c r="G428" s="33" t="s">
        <v>34</v>
      </c>
    </row>
    <row r="429" spans="1:7" x14ac:dyDescent="0.3">
      <c r="A429" s="32" t="s">
        <v>469</v>
      </c>
      <c r="B429" s="27">
        <v>45367</v>
      </c>
      <c r="C429" s="26" t="s">
        <v>20</v>
      </c>
      <c r="D429" s="26" t="s">
        <v>15</v>
      </c>
      <c r="E429" s="26" t="s">
        <v>31</v>
      </c>
      <c r="F429" s="28">
        <v>17130.12</v>
      </c>
      <c r="G429" s="33" t="s">
        <v>35</v>
      </c>
    </row>
    <row r="430" spans="1:7" x14ac:dyDescent="0.3">
      <c r="A430" s="32" t="s">
        <v>470</v>
      </c>
      <c r="B430" s="27">
        <v>45367</v>
      </c>
      <c r="C430" s="26" t="s">
        <v>20</v>
      </c>
      <c r="D430" s="26" t="s">
        <v>15</v>
      </c>
      <c r="E430" s="26" t="s">
        <v>30</v>
      </c>
      <c r="F430" s="28">
        <v>17949.84</v>
      </c>
      <c r="G430" s="33" t="s">
        <v>34</v>
      </c>
    </row>
    <row r="431" spans="1:7" x14ac:dyDescent="0.3">
      <c r="A431" s="32" t="s">
        <v>471</v>
      </c>
      <c r="B431" s="27">
        <v>45368</v>
      </c>
      <c r="C431" s="26" t="s">
        <v>20</v>
      </c>
      <c r="D431" s="26" t="s">
        <v>14</v>
      </c>
      <c r="E431" s="26" t="s">
        <v>46</v>
      </c>
      <c r="F431" s="28">
        <v>12026.72</v>
      </c>
      <c r="G431" s="33" t="s">
        <v>34</v>
      </c>
    </row>
    <row r="432" spans="1:7" x14ac:dyDescent="0.3">
      <c r="A432" s="32" t="s">
        <v>472</v>
      </c>
      <c r="B432" s="27">
        <v>45368</v>
      </c>
      <c r="C432" s="26" t="s">
        <v>20</v>
      </c>
      <c r="D432" s="26" t="s">
        <v>14</v>
      </c>
      <c r="E432" s="26" t="s">
        <v>46</v>
      </c>
      <c r="F432" s="28">
        <v>29128.93</v>
      </c>
      <c r="G432" s="33" t="s">
        <v>35</v>
      </c>
    </row>
    <row r="433" spans="1:7" x14ac:dyDescent="0.3">
      <c r="A433" s="32" t="s">
        <v>473</v>
      </c>
      <c r="B433" s="27">
        <v>45368</v>
      </c>
      <c r="C433" s="26" t="s">
        <v>20</v>
      </c>
      <c r="D433" s="26" t="s">
        <v>15</v>
      </c>
      <c r="E433" s="26" t="s">
        <v>27</v>
      </c>
      <c r="F433" s="28">
        <v>19535.419999999998</v>
      </c>
      <c r="G433" s="33" t="s">
        <v>34</v>
      </c>
    </row>
    <row r="434" spans="1:7" x14ac:dyDescent="0.3">
      <c r="A434" s="32" t="s">
        <v>474</v>
      </c>
      <c r="B434" s="27">
        <v>45368</v>
      </c>
      <c r="C434" s="26" t="s">
        <v>20</v>
      </c>
      <c r="D434" s="26" t="s">
        <v>15</v>
      </c>
      <c r="E434" s="26" t="s">
        <v>28</v>
      </c>
      <c r="F434" s="28">
        <v>23195.360000000001</v>
      </c>
      <c r="G434" s="33" t="s">
        <v>34</v>
      </c>
    </row>
    <row r="435" spans="1:7" x14ac:dyDescent="0.3">
      <c r="A435" s="32" t="s">
        <v>475</v>
      </c>
      <c r="B435" s="27">
        <v>45368</v>
      </c>
      <c r="C435" s="26" t="s">
        <v>20</v>
      </c>
      <c r="D435" s="26" t="s">
        <v>14</v>
      </c>
      <c r="E435" s="26" t="s">
        <v>46</v>
      </c>
      <c r="F435" s="28">
        <v>34571.64</v>
      </c>
      <c r="G435" s="33" t="s">
        <v>34</v>
      </c>
    </row>
    <row r="436" spans="1:7" x14ac:dyDescent="0.3">
      <c r="A436" s="32" t="s">
        <v>476</v>
      </c>
      <c r="B436" s="27">
        <v>45368</v>
      </c>
      <c r="C436" s="26" t="s">
        <v>20</v>
      </c>
      <c r="D436" s="26" t="s">
        <v>14</v>
      </c>
      <c r="E436" s="26" t="s">
        <v>46</v>
      </c>
      <c r="F436" s="28">
        <v>22698.39</v>
      </c>
      <c r="G436" s="33" t="s">
        <v>34</v>
      </c>
    </row>
    <row r="437" spans="1:7" x14ac:dyDescent="0.3">
      <c r="A437" s="32" t="s">
        <v>477</v>
      </c>
      <c r="B437" s="27">
        <v>45369</v>
      </c>
      <c r="C437" s="26" t="s">
        <v>20</v>
      </c>
      <c r="D437" s="26" t="s">
        <v>15</v>
      </c>
      <c r="E437" s="26" t="s">
        <v>27</v>
      </c>
      <c r="F437" s="28">
        <v>5294.78</v>
      </c>
      <c r="G437" s="33" t="s">
        <v>35</v>
      </c>
    </row>
    <row r="438" spans="1:7" x14ac:dyDescent="0.3">
      <c r="A438" s="32" t="s">
        <v>478</v>
      </c>
      <c r="B438" s="27">
        <v>45369</v>
      </c>
      <c r="C438" s="26" t="s">
        <v>20</v>
      </c>
      <c r="D438" s="26" t="s">
        <v>14</v>
      </c>
      <c r="E438" s="26" t="s">
        <v>46</v>
      </c>
      <c r="F438" s="28">
        <v>56014.12</v>
      </c>
      <c r="G438" s="33" t="s">
        <v>34</v>
      </c>
    </row>
    <row r="439" spans="1:7" x14ac:dyDescent="0.3">
      <c r="A439" s="32" t="s">
        <v>479</v>
      </c>
      <c r="B439" s="27">
        <v>45369</v>
      </c>
      <c r="C439" s="26" t="s">
        <v>20</v>
      </c>
      <c r="D439" s="26" t="s">
        <v>15</v>
      </c>
      <c r="E439" s="26" t="s">
        <v>27</v>
      </c>
      <c r="F439" s="28">
        <v>3600.46</v>
      </c>
      <c r="G439" s="33" t="s">
        <v>34</v>
      </c>
    </row>
    <row r="440" spans="1:7" x14ac:dyDescent="0.3">
      <c r="A440" s="32" t="s">
        <v>480</v>
      </c>
      <c r="B440" s="27">
        <v>45369</v>
      </c>
      <c r="C440" s="26" t="s">
        <v>20</v>
      </c>
      <c r="D440" s="26" t="s">
        <v>15</v>
      </c>
      <c r="E440" s="26" t="s">
        <v>31</v>
      </c>
      <c r="F440" s="28">
        <v>19042.29</v>
      </c>
      <c r="G440" s="33" t="s">
        <v>35</v>
      </c>
    </row>
    <row r="441" spans="1:7" x14ac:dyDescent="0.3">
      <c r="A441" s="32" t="s">
        <v>481</v>
      </c>
      <c r="B441" s="27">
        <v>45369</v>
      </c>
      <c r="C441" s="26" t="s">
        <v>20</v>
      </c>
      <c r="D441" s="26" t="s">
        <v>14</v>
      </c>
      <c r="E441" s="26" t="s">
        <v>46</v>
      </c>
      <c r="F441" s="28">
        <v>78026.720000000001</v>
      </c>
      <c r="G441" s="33" t="s">
        <v>35</v>
      </c>
    </row>
    <row r="442" spans="1:7" x14ac:dyDescent="0.3">
      <c r="A442" s="32" t="s">
        <v>482</v>
      </c>
      <c r="B442" s="27">
        <v>45369</v>
      </c>
      <c r="C442" s="26" t="s">
        <v>20</v>
      </c>
      <c r="D442" s="26" t="s">
        <v>14</v>
      </c>
      <c r="E442" s="26" t="s">
        <v>46</v>
      </c>
      <c r="F442" s="28">
        <v>16423.04</v>
      </c>
      <c r="G442" s="33" t="s">
        <v>35</v>
      </c>
    </row>
    <row r="443" spans="1:7" x14ac:dyDescent="0.3">
      <c r="A443" s="32" t="s">
        <v>483</v>
      </c>
      <c r="B443" s="27">
        <v>45370</v>
      </c>
      <c r="C443" s="26" t="s">
        <v>20</v>
      </c>
      <c r="D443" s="26" t="s">
        <v>15</v>
      </c>
      <c r="E443" s="26" t="s">
        <v>27</v>
      </c>
      <c r="F443" s="28">
        <v>14201.1</v>
      </c>
      <c r="G443" s="33" t="s">
        <v>34</v>
      </c>
    </row>
    <row r="444" spans="1:7" x14ac:dyDescent="0.3">
      <c r="A444" s="32" t="s">
        <v>484</v>
      </c>
      <c r="B444" s="27">
        <v>45370</v>
      </c>
      <c r="C444" s="26" t="s">
        <v>20</v>
      </c>
      <c r="D444" s="26" t="s">
        <v>15</v>
      </c>
      <c r="E444" s="26" t="s">
        <v>28</v>
      </c>
      <c r="F444" s="28">
        <v>10652.47</v>
      </c>
      <c r="G444" s="33" t="s">
        <v>34</v>
      </c>
    </row>
    <row r="445" spans="1:7" x14ac:dyDescent="0.3">
      <c r="A445" s="32" t="s">
        <v>485</v>
      </c>
      <c r="B445" s="27">
        <v>45370</v>
      </c>
      <c r="C445" s="26" t="s">
        <v>20</v>
      </c>
      <c r="D445" s="26" t="s">
        <v>15</v>
      </c>
      <c r="E445" s="26" t="s">
        <v>29</v>
      </c>
      <c r="F445" s="28">
        <v>12433.85</v>
      </c>
      <c r="G445" s="33" t="s">
        <v>36</v>
      </c>
    </row>
    <row r="446" spans="1:7" x14ac:dyDescent="0.3">
      <c r="A446" s="32" t="s">
        <v>486</v>
      </c>
      <c r="B446" s="27">
        <v>45370</v>
      </c>
      <c r="C446" s="26" t="s">
        <v>20</v>
      </c>
      <c r="D446" s="26" t="s">
        <v>15</v>
      </c>
      <c r="E446" s="26" t="s">
        <v>29</v>
      </c>
      <c r="F446" s="28">
        <v>5620.41</v>
      </c>
      <c r="G446" s="33" t="s">
        <v>35</v>
      </c>
    </row>
    <row r="447" spans="1:7" x14ac:dyDescent="0.3">
      <c r="A447" s="32" t="s">
        <v>487</v>
      </c>
      <c r="B447" s="27">
        <v>45370</v>
      </c>
      <c r="C447" s="26" t="s">
        <v>20</v>
      </c>
      <c r="D447" s="26" t="s">
        <v>15</v>
      </c>
      <c r="E447" s="26" t="s">
        <v>28</v>
      </c>
      <c r="F447" s="28">
        <v>9167.66</v>
      </c>
      <c r="G447" s="33" t="s">
        <v>34</v>
      </c>
    </row>
    <row r="448" spans="1:7" x14ac:dyDescent="0.3">
      <c r="A448" s="32" t="s">
        <v>488</v>
      </c>
      <c r="B448" s="27">
        <v>45370</v>
      </c>
      <c r="C448" s="26" t="s">
        <v>20</v>
      </c>
      <c r="D448" s="26" t="s">
        <v>15</v>
      </c>
      <c r="E448" s="26" t="s">
        <v>27</v>
      </c>
      <c r="F448" s="28">
        <v>9460.81</v>
      </c>
      <c r="G448" s="33" t="s">
        <v>34</v>
      </c>
    </row>
    <row r="449" spans="1:7" x14ac:dyDescent="0.3">
      <c r="A449" s="32" t="s">
        <v>489</v>
      </c>
      <c r="B449" s="27">
        <v>45371</v>
      </c>
      <c r="C449" s="26" t="s">
        <v>20</v>
      </c>
      <c r="D449" s="26" t="s">
        <v>15</v>
      </c>
      <c r="E449" s="26" t="s">
        <v>27</v>
      </c>
      <c r="F449" s="28">
        <v>23652.37</v>
      </c>
      <c r="G449" s="33" t="s">
        <v>34</v>
      </c>
    </row>
    <row r="450" spans="1:7" x14ac:dyDescent="0.3">
      <c r="A450" s="32" t="s">
        <v>490</v>
      </c>
      <c r="B450" s="27">
        <v>45371</v>
      </c>
      <c r="C450" s="26" t="s">
        <v>20</v>
      </c>
      <c r="D450" s="26" t="s">
        <v>15</v>
      </c>
      <c r="E450" s="26" t="s">
        <v>28</v>
      </c>
      <c r="F450" s="28">
        <v>15713.15</v>
      </c>
      <c r="G450" s="33" t="s">
        <v>36</v>
      </c>
    </row>
    <row r="451" spans="1:7" x14ac:dyDescent="0.3">
      <c r="A451" s="32" t="s">
        <v>491</v>
      </c>
      <c r="B451" s="27">
        <v>45371</v>
      </c>
      <c r="C451" s="26" t="s">
        <v>20</v>
      </c>
      <c r="D451" s="26" t="s">
        <v>14</v>
      </c>
      <c r="E451" s="26" t="s">
        <v>46</v>
      </c>
      <c r="F451" s="28">
        <v>71833.95</v>
      </c>
      <c r="G451" s="33" t="s">
        <v>34</v>
      </c>
    </row>
    <row r="452" spans="1:7" x14ac:dyDescent="0.3">
      <c r="A452" s="32" t="s">
        <v>492</v>
      </c>
      <c r="B452" s="27">
        <v>45371</v>
      </c>
      <c r="C452" s="26" t="s">
        <v>20</v>
      </c>
      <c r="D452" s="26" t="s">
        <v>15</v>
      </c>
      <c r="E452" s="26" t="s">
        <v>27</v>
      </c>
      <c r="F452" s="28">
        <v>5578.34</v>
      </c>
      <c r="G452" s="33" t="s">
        <v>34</v>
      </c>
    </row>
    <row r="453" spans="1:7" x14ac:dyDescent="0.3">
      <c r="A453" s="32" t="s">
        <v>493</v>
      </c>
      <c r="B453" s="27">
        <v>45371</v>
      </c>
      <c r="C453" s="26" t="s">
        <v>20</v>
      </c>
      <c r="D453" s="26" t="s">
        <v>15</v>
      </c>
      <c r="E453" s="26" t="s">
        <v>28</v>
      </c>
      <c r="F453" s="28">
        <v>19352.03</v>
      </c>
      <c r="G453" s="33" t="s">
        <v>34</v>
      </c>
    </row>
    <row r="454" spans="1:7" x14ac:dyDescent="0.3">
      <c r="A454" s="32" t="s">
        <v>494</v>
      </c>
      <c r="B454" s="27">
        <v>45372</v>
      </c>
      <c r="C454" s="26" t="s">
        <v>20</v>
      </c>
      <c r="D454" s="26" t="s">
        <v>15</v>
      </c>
      <c r="E454" s="26" t="s">
        <v>27</v>
      </c>
      <c r="F454" s="28">
        <v>3144.54</v>
      </c>
      <c r="G454" s="33" t="s">
        <v>35</v>
      </c>
    </row>
    <row r="455" spans="1:7" x14ac:dyDescent="0.3">
      <c r="A455" s="32" t="s">
        <v>495</v>
      </c>
      <c r="B455" s="27">
        <v>45372</v>
      </c>
      <c r="C455" s="26" t="s">
        <v>20</v>
      </c>
      <c r="D455" s="26" t="s">
        <v>15</v>
      </c>
      <c r="E455" s="26" t="s">
        <v>27</v>
      </c>
      <c r="F455" s="28">
        <v>3876.38</v>
      </c>
      <c r="G455" s="33" t="s">
        <v>35</v>
      </c>
    </row>
    <row r="456" spans="1:7" x14ac:dyDescent="0.3">
      <c r="A456" s="32" t="s">
        <v>496</v>
      </c>
      <c r="B456" s="27">
        <v>45372</v>
      </c>
      <c r="C456" s="26" t="s">
        <v>20</v>
      </c>
      <c r="D456" s="26" t="s">
        <v>14</v>
      </c>
      <c r="E456" s="26" t="s">
        <v>46</v>
      </c>
      <c r="F456" s="28">
        <v>41017.910000000003</v>
      </c>
      <c r="G456" s="33" t="s">
        <v>34</v>
      </c>
    </row>
    <row r="457" spans="1:7" x14ac:dyDescent="0.3">
      <c r="A457" s="32" t="s">
        <v>497</v>
      </c>
      <c r="B457" s="27">
        <v>45372</v>
      </c>
      <c r="C457" s="26" t="s">
        <v>20</v>
      </c>
      <c r="D457" s="26" t="s">
        <v>15</v>
      </c>
      <c r="E457" s="26" t="s">
        <v>28</v>
      </c>
      <c r="F457" s="28">
        <v>11752.34</v>
      </c>
      <c r="G457" s="33" t="s">
        <v>35</v>
      </c>
    </row>
    <row r="458" spans="1:7" x14ac:dyDescent="0.3">
      <c r="A458" s="32" t="s">
        <v>498</v>
      </c>
      <c r="B458" s="27">
        <v>45372</v>
      </c>
      <c r="C458" s="26" t="s">
        <v>20</v>
      </c>
      <c r="D458" s="26" t="s">
        <v>14</v>
      </c>
      <c r="E458" s="26" t="s">
        <v>46</v>
      </c>
      <c r="F458" s="28">
        <v>52495.32</v>
      </c>
      <c r="G458" s="33" t="s">
        <v>36</v>
      </c>
    </row>
    <row r="459" spans="1:7" x14ac:dyDescent="0.3">
      <c r="A459" s="32" t="s">
        <v>499</v>
      </c>
      <c r="B459" s="27">
        <v>45372</v>
      </c>
      <c r="C459" s="26" t="s">
        <v>20</v>
      </c>
      <c r="D459" s="26" t="s">
        <v>15</v>
      </c>
      <c r="E459" s="26" t="s">
        <v>27</v>
      </c>
      <c r="F459" s="28">
        <v>11526.23</v>
      </c>
      <c r="G459" s="33" t="s">
        <v>34</v>
      </c>
    </row>
    <row r="460" spans="1:7" x14ac:dyDescent="0.3">
      <c r="A460" s="32" t="s">
        <v>500</v>
      </c>
      <c r="B460" s="27">
        <v>45372</v>
      </c>
      <c r="C460" s="26" t="s">
        <v>20</v>
      </c>
      <c r="D460" s="26" t="s">
        <v>14</v>
      </c>
      <c r="E460" s="26" t="s">
        <v>46</v>
      </c>
      <c r="F460" s="28">
        <v>25089.83</v>
      </c>
      <c r="G460" s="33" t="s">
        <v>34</v>
      </c>
    </row>
    <row r="461" spans="1:7" x14ac:dyDescent="0.3">
      <c r="A461" s="32" t="s">
        <v>501</v>
      </c>
      <c r="B461" s="27">
        <v>45372</v>
      </c>
      <c r="C461" s="26" t="s">
        <v>20</v>
      </c>
      <c r="D461" s="26" t="s">
        <v>14</v>
      </c>
      <c r="E461" s="26" t="s">
        <v>46</v>
      </c>
      <c r="F461" s="28">
        <v>45864.24</v>
      </c>
      <c r="G461" s="33" t="s">
        <v>34</v>
      </c>
    </row>
    <row r="462" spans="1:7" x14ac:dyDescent="0.3">
      <c r="A462" s="32" t="s">
        <v>502</v>
      </c>
      <c r="B462" s="27">
        <v>45372</v>
      </c>
      <c r="C462" s="26" t="s">
        <v>20</v>
      </c>
      <c r="D462" s="26" t="s">
        <v>14</v>
      </c>
      <c r="E462" s="26" t="s">
        <v>46</v>
      </c>
      <c r="F462" s="28">
        <v>34162.1</v>
      </c>
      <c r="G462" s="33" t="s">
        <v>35</v>
      </c>
    </row>
    <row r="463" spans="1:7" x14ac:dyDescent="0.3">
      <c r="A463" s="32" t="s">
        <v>503</v>
      </c>
      <c r="B463" s="27">
        <v>45373</v>
      </c>
      <c r="C463" s="26" t="s">
        <v>20</v>
      </c>
      <c r="D463" s="26" t="s">
        <v>15</v>
      </c>
      <c r="E463" s="26" t="s">
        <v>28</v>
      </c>
      <c r="F463" s="28">
        <v>4550.46</v>
      </c>
      <c r="G463" s="33" t="s">
        <v>34</v>
      </c>
    </row>
    <row r="464" spans="1:7" x14ac:dyDescent="0.3">
      <c r="A464" s="32" t="s">
        <v>504</v>
      </c>
      <c r="B464" s="27">
        <v>45373</v>
      </c>
      <c r="C464" s="26" t="s">
        <v>20</v>
      </c>
      <c r="D464" s="26" t="s">
        <v>15</v>
      </c>
      <c r="E464" s="26" t="s">
        <v>29</v>
      </c>
      <c r="F464" s="28">
        <v>17599.009999999998</v>
      </c>
      <c r="G464" s="33" t="s">
        <v>34</v>
      </c>
    </row>
    <row r="465" spans="1:7" x14ac:dyDescent="0.3">
      <c r="A465" s="32" t="s">
        <v>505</v>
      </c>
      <c r="B465" s="27">
        <v>45374</v>
      </c>
      <c r="C465" s="26" t="s">
        <v>20</v>
      </c>
      <c r="D465" s="26" t="s">
        <v>15</v>
      </c>
      <c r="E465" s="26" t="s">
        <v>30</v>
      </c>
      <c r="F465" s="28">
        <v>15642.09</v>
      </c>
      <c r="G465" s="33" t="s">
        <v>35</v>
      </c>
    </row>
    <row r="466" spans="1:7" x14ac:dyDescent="0.3">
      <c r="A466" s="32" t="s">
        <v>506</v>
      </c>
      <c r="B466" s="27">
        <v>45374</v>
      </c>
      <c r="C466" s="26" t="s">
        <v>20</v>
      </c>
      <c r="D466" s="26" t="s">
        <v>15</v>
      </c>
      <c r="E466" s="26" t="s">
        <v>27</v>
      </c>
      <c r="F466" s="28">
        <v>14119.48</v>
      </c>
      <c r="G466" s="33" t="s">
        <v>34</v>
      </c>
    </row>
    <row r="467" spans="1:7" x14ac:dyDescent="0.3">
      <c r="A467" s="32" t="s">
        <v>507</v>
      </c>
      <c r="B467" s="27">
        <v>45374</v>
      </c>
      <c r="C467" s="26" t="s">
        <v>20</v>
      </c>
      <c r="D467" s="26" t="s">
        <v>15</v>
      </c>
      <c r="E467" s="26" t="s">
        <v>27</v>
      </c>
      <c r="F467" s="28">
        <v>9093.65</v>
      </c>
      <c r="G467" s="33" t="s">
        <v>36</v>
      </c>
    </row>
    <row r="468" spans="1:7" x14ac:dyDescent="0.3">
      <c r="A468" s="32" t="s">
        <v>508</v>
      </c>
      <c r="B468" s="27">
        <v>45375</v>
      </c>
      <c r="C468" s="26" t="s">
        <v>20</v>
      </c>
      <c r="D468" s="26" t="s">
        <v>14</v>
      </c>
      <c r="E468" s="26" t="s">
        <v>46</v>
      </c>
      <c r="F468" s="28">
        <v>25436.29</v>
      </c>
      <c r="G468" s="33" t="s">
        <v>34</v>
      </c>
    </row>
    <row r="469" spans="1:7" x14ac:dyDescent="0.3">
      <c r="A469" s="32" t="s">
        <v>509</v>
      </c>
      <c r="B469" s="27">
        <v>45375</v>
      </c>
      <c r="C469" s="26" t="s">
        <v>20</v>
      </c>
      <c r="D469" s="26" t="s">
        <v>15</v>
      </c>
      <c r="E469" s="26" t="s">
        <v>27</v>
      </c>
      <c r="F469" s="28">
        <v>24642.25</v>
      </c>
      <c r="G469" s="33" t="s">
        <v>34</v>
      </c>
    </row>
    <row r="470" spans="1:7" x14ac:dyDescent="0.3">
      <c r="A470" s="32" t="s">
        <v>510</v>
      </c>
      <c r="B470" s="27">
        <v>45375</v>
      </c>
      <c r="C470" s="26" t="s">
        <v>20</v>
      </c>
      <c r="D470" s="26" t="s">
        <v>14</v>
      </c>
      <c r="E470" s="26" t="s">
        <v>46</v>
      </c>
      <c r="F470" s="28">
        <v>13834.74</v>
      </c>
      <c r="G470" s="33" t="s">
        <v>35</v>
      </c>
    </row>
    <row r="471" spans="1:7" x14ac:dyDescent="0.3">
      <c r="A471" s="32" t="s">
        <v>511</v>
      </c>
      <c r="B471" s="27">
        <v>45375</v>
      </c>
      <c r="C471" s="26" t="s">
        <v>20</v>
      </c>
      <c r="D471" s="26" t="s">
        <v>15</v>
      </c>
      <c r="E471" s="26" t="s">
        <v>29</v>
      </c>
      <c r="F471" s="28">
        <v>6701.73</v>
      </c>
      <c r="G471" s="33" t="s">
        <v>35</v>
      </c>
    </row>
    <row r="472" spans="1:7" x14ac:dyDescent="0.3">
      <c r="A472" s="32" t="s">
        <v>512</v>
      </c>
      <c r="B472" s="27">
        <v>45375</v>
      </c>
      <c r="C472" s="26" t="s">
        <v>20</v>
      </c>
      <c r="D472" s="26" t="s">
        <v>14</v>
      </c>
      <c r="E472" s="26" t="s">
        <v>46</v>
      </c>
      <c r="F472" s="28">
        <v>76172.69</v>
      </c>
      <c r="G472" s="33" t="s">
        <v>34</v>
      </c>
    </row>
    <row r="473" spans="1:7" x14ac:dyDescent="0.3">
      <c r="A473" s="32" t="s">
        <v>513</v>
      </c>
      <c r="B473" s="27">
        <v>45376</v>
      </c>
      <c r="C473" s="26" t="s">
        <v>20</v>
      </c>
      <c r="D473" s="26" t="s">
        <v>15</v>
      </c>
      <c r="E473" s="26" t="s">
        <v>29</v>
      </c>
      <c r="F473" s="28">
        <v>19649.04</v>
      </c>
      <c r="G473" s="33" t="s">
        <v>35</v>
      </c>
    </row>
    <row r="474" spans="1:7" x14ac:dyDescent="0.3">
      <c r="A474" s="32" t="s">
        <v>514</v>
      </c>
      <c r="B474" s="27">
        <v>45376</v>
      </c>
      <c r="C474" s="26" t="s">
        <v>20</v>
      </c>
      <c r="D474" s="26" t="s">
        <v>14</v>
      </c>
      <c r="E474" s="26" t="s">
        <v>46</v>
      </c>
      <c r="F474" s="28">
        <v>63491.26</v>
      </c>
      <c r="G474" s="33" t="s">
        <v>36</v>
      </c>
    </row>
    <row r="475" spans="1:7" x14ac:dyDescent="0.3">
      <c r="A475" s="32" t="s">
        <v>515</v>
      </c>
      <c r="B475" s="27">
        <v>45376</v>
      </c>
      <c r="C475" s="26" t="s">
        <v>20</v>
      </c>
      <c r="D475" s="26" t="s">
        <v>15</v>
      </c>
      <c r="E475" s="26" t="s">
        <v>27</v>
      </c>
      <c r="F475" s="28">
        <v>8657.2800000000007</v>
      </c>
      <c r="G475" s="33" t="s">
        <v>34</v>
      </c>
    </row>
    <row r="476" spans="1:7" x14ac:dyDescent="0.3">
      <c r="A476" s="32" t="s">
        <v>516</v>
      </c>
      <c r="B476" s="27">
        <v>45376</v>
      </c>
      <c r="C476" s="26" t="s">
        <v>20</v>
      </c>
      <c r="D476" s="26" t="s">
        <v>15</v>
      </c>
      <c r="E476" s="26" t="s">
        <v>31</v>
      </c>
      <c r="F476" s="28">
        <v>4759.6400000000003</v>
      </c>
      <c r="G476" s="33" t="s">
        <v>36</v>
      </c>
    </row>
    <row r="477" spans="1:7" x14ac:dyDescent="0.3">
      <c r="A477" s="32" t="s">
        <v>517</v>
      </c>
      <c r="B477" s="27">
        <v>45376</v>
      </c>
      <c r="C477" s="26" t="s">
        <v>20</v>
      </c>
      <c r="D477" s="26" t="s">
        <v>15</v>
      </c>
      <c r="E477" s="26" t="s">
        <v>27</v>
      </c>
      <c r="F477" s="28">
        <v>13439.86</v>
      </c>
      <c r="G477" s="33" t="s">
        <v>34</v>
      </c>
    </row>
    <row r="478" spans="1:7" x14ac:dyDescent="0.3">
      <c r="A478" s="32" t="s">
        <v>518</v>
      </c>
      <c r="B478" s="27">
        <v>45376</v>
      </c>
      <c r="C478" s="26" t="s">
        <v>20</v>
      </c>
      <c r="D478" s="26" t="s">
        <v>14</v>
      </c>
      <c r="E478" s="26" t="s">
        <v>46</v>
      </c>
      <c r="F478" s="28">
        <v>40145.85</v>
      </c>
      <c r="G478" s="33" t="s">
        <v>34</v>
      </c>
    </row>
    <row r="479" spans="1:7" x14ac:dyDescent="0.3">
      <c r="A479" s="32" t="s">
        <v>519</v>
      </c>
      <c r="B479" s="27">
        <v>45377</v>
      </c>
      <c r="C479" s="26" t="s">
        <v>20</v>
      </c>
      <c r="D479" s="26" t="s">
        <v>15</v>
      </c>
      <c r="E479" s="26" t="s">
        <v>28</v>
      </c>
      <c r="F479" s="28">
        <v>4971.2700000000004</v>
      </c>
      <c r="G479" s="33" t="s">
        <v>34</v>
      </c>
    </row>
    <row r="480" spans="1:7" x14ac:dyDescent="0.3">
      <c r="A480" s="32" t="s">
        <v>520</v>
      </c>
      <c r="B480" s="27">
        <v>45377</v>
      </c>
      <c r="C480" s="26" t="s">
        <v>20</v>
      </c>
      <c r="D480" s="26" t="s">
        <v>15</v>
      </c>
      <c r="E480" s="26" t="s">
        <v>29</v>
      </c>
      <c r="F480" s="28">
        <v>14249.39</v>
      </c>
      <c r="G480" s="33" t="s">
        <v>35</v>
      </c>
    </row>
    <row r="481" spans="1:7" x14ac:dyDescent="0.3">
      <c r="A481" s="32" t="s">
        <v>521</v>
      </c>
      <c r="B481" s="27">
        <v>45377</v>
      </c>
      <c r="C481" s="26" t="s">
        <v>20</v>
      </c>
      <c r="D481" s="26" t="s">
        <v>15</v>
      </c>
      <c r="E481" s="26" t="s">
        <v>31</v>
      </c>
      <c r="F481" s="28">
        <v>7292.55</v>
      </c>
      <c r="G481" s="33" t="s">
        <v>35</v>
      </c>
    </row>
    <row r="482" spans="1:7" x14ac:dyDescent="0.3">
      <c r="A482" s="32" t="s">
        <v>522</v>
      </c>
      <c r="B482" s="27">
        <v>45377</v>
      </c>
      <c r="C482" s="26" t="s">
        <v>20</v>
      </c>
      <c r="D482" s="26" t="s">
        <v>15</v>
      </c>
      <c r="E482" s="26" t="s">
        <v>29</v>
      </c>
      <c r="F482" s="28">
        <v>14850.64</v>
      </c>
      <c r="G482" s="33" t="s">
        <v>34</v>
      </c>
    </row>
    <row r="483" spans="1:7" x14ac:dyDescent="0.3">
      <c r="A483" s="32" t="s">
        <v>523</v>
      </c>
      <c r="B483" s="27">
        <v>45378</v>
      </c>
      <c r="C483" s="26" t="s">
        <v>20</v>
      </c>
      <c r="D483" s="26" t="s">
        <v>15</v>
      </c>
      <c r="E483" s="26" t="s">
        <v>30</v>
      </c>
      <c r="F483" s="28">
        <v>17365.11</v>
      </c>
      <c r="G483" s="33" t="s">
        <v>34</v>
      </c>
    </row>
    <row r="484" spans="1:7" x14ac:dyDescent="0.3">
      <c r="A484" s="32" t="s">
        <v>524</v>
      </c>
      <c r="B484" s="27">
        <v>45378</v>
      </c>
      <c r="C484" s="26" t="s">
        <v>20</v>
      </c>
      <c r="D484" s="26" t="s">
        <v>15</v>
      </c>
      <c r="E484" s="26" t="s">
        <v>27</v>
      </c>
      <c r="F484" s="28">
        <v>10145.84</v>
      </c>
      <c r="G484" s="33" t="s">
        <v>34</v>
      </c>
    </row>
    <row r="485" spans="1:7" x14ac:dyDescent="0.3">
      <c r="A485" s="32" t="s">
        <v>525</v>
      </c>
      <c r="B485" s="27">
        <v>45378</v>
      </c>
      <c r="C485" s="26" t="s">
        <v>20</v>
      </c>
      <c r="D485" s="26" t="s">
        <v>15</v>
      </c>
      <c r="E485" s="26" t="s">
        <v>30</v>
      </c>
      <c r="F485" s="28">
        <v>11132.64</v>
      </c>
      <c r="G485" s="33" t="s">
        <v>34</v>
      </c>
    </row>
    <row r="486" spans="1:7" x14ac:dyDescent="0.3">
      <c r="A486" s="32" t="s">
        <v>526</v>
      </c>
      <c r="B486" s="27">
        <v>45378</v>
      </c>
      <c r="C486" s="26" t="s">
        <v>20</v>
      </c>
      <c r="D486" s="26" t="s">
        <v>15</v>
      </c>
      <c r="E486" s="26" t="s">
        <v>27</v>
      </c>
      <c r="F486" s="28">
        <v>19066.95</v>
      </c>
      <c r="G486" s="33" t="s">
        <v>35</v>
      </c>
    </row>
    <row r="487" spans="1:7" x14ac:dyDescent="0.3">
      <c r="A487" s="32" t="s">
        <v>527</v>
      </c>
      <c r="B487" s="27">
        <v>45378</v>
      </c>
      <c r="C487" s="26" t="s">
        <v>20</v>
      </c>
      <c r="D487" s="26" t="s">
        <v>15</v>
      </c>
      <c r="E487" s="26" t="s">
        <v>31</v>
      </c>
      <c r="F487" s="28">
        <v>12033.05</v>
      </c>
      <c r="G487" s="33" t="s">
        <v>35</v>
      </c>
    </row>
    <row r="488" spans="1:7" x14ac:dyDescent="0.3">
      <c r="A488" s="32" t="s">
        <v>528</v>
      </c>
      <c r="B488" s="27">
        <v>45378</v>
      </c>
      <c r="C488" s="26" t="s">
        <v>20</v>
      </c>
      <c r="D488" s="26" t="s">
        <v>14</v>
      </c>
      <c r="E488" s="26" t="s">
        <v>46</v>
      </c>
      <c r="F488" s="28">
        <v>42182.8</v>
      </c>
      <c r="G488" s="33" t="s">
        <v>34</v>
      </c>
    </row>
    <row r="489" spans="1:7" x14ac:dyDescent="0.3">
      <c r="A489" s="32" t="s">
        <v>529</v>
      </c>
      <c r="B489" s="27">
        <v>45379</v>
      </c>
      <c r="C489" s="26" t="s">
        <v>20</v>
      </c>
      <c r="D489" s="26" t="s">
        <v>14</v>
      </c>
      <c r="E489" s="26" t="s">
        <v>46</v>
      </c>
      <c r="F489" s="28">
        <v>15450.38</v>
      </c>
      <c r="G489" s="33" t="s">
        <v>36</v>
      </c>
    </row>
    <row r="490" spans="1:7" x14ac:dyDescent="0.3">
      <c r="A490" s="32" t="s">
        <v>530</v>
      </c>
      <c r="B490" s="27">
        <v>45379</v>
      </c>
      <c r="C490" s="26" t="s">
        <v>20</v>
      </c>
      <c r="D490" s="26" t="s">
        <v>15</v>
      </c>
      <c r="E490" s="26" t="s">
        <v>28</v>
      </c>
      <c r="F490" s="28">
        <v>9200.39</v>
      </c>
      <c r="G490" s="33" t="s">
        <v>34</v>
      </c>
    </row>
    <row r="491" spans="1:7" x14ac:dyDescent="0.3">
      <c r="A491" s="32" t="s">
        <v>531</v>
      </c>
      <c r="B491" s="27">
        <v>45379</v>
      </c>
      <c r="C491" s="26" t="s">
        <v>20</v>
      </c>
      <c r="D491" s="26" t="s">
        <v>15</v>
      </c>
      <c r="E491" s="26" t="s">
        <v>30</v>
      </c>
      <c r="F491" s="28">
        <v>11873.54</v>
      </c>
      <c r="G491" s="33" t="s">
        <v>36</v>
      </c>
    </row>
    <row r="492" spans="1:7" x14ac:dyDescent="0.3">
      <c r="A492" s="32" t="s">
        <v>532</v>
      </c>
      <c r="B492" s="27">
        <v>45379</v>
      </c>
      <c r="C492" s="26" t="s">
        <v>20</v>
      </c>
      <c r="D492" s="26" t="s">
        <v>15</v>
      </c>
      <c r="E492" s="26" t="s">
        <v>28</v>
      </c>
      <c r="F492" s="28">
        <v>11301.73</v>
      </c>
      <c r="G492" s="33" t="s">
        <v>35</v>
      </c>
    </row>
    <row r="493" spans="1:7" x14ac:dyDescent="0.3">
      <c r="A493" s="32" t="s">
        <v>533</v>
      </c>
      <c r="B493" s="27">
        <v>45379</v>
      </c>
      <c r="C493" s="26" t="s">
        <v>20</v>
      </c>
      <c r="D493" s="26" t="s">
        <v>15</v>
      </c>
      <c r="E493" s="26" t="s">
        <v>29</v>
      </c>
      <c r="F493" s="28">
        <v>16723.259999999998</v>
      </c>
      <c r="G493" s="33" t="s">
        <v>34</v>
      </c>
    </row>
    <row r="494" spans="1:7" x14ac:dyDescent="0.3">
      <c r="A494" s="32" t="s">
        <v>534</v>
      </c>
      <c r="B494" s="27">
        <v>45379</v>
      </c>
      <c r="C494" s="26" t="s">
        <v>20</v>
      </c>
      <c r="D494" s="26" t="s">
        <v>14</v>
      </c>
      <c r="E494" s="26" t="s">
        <v>46</v>
      </c>
      <c r="F494" s="28">
        <v>30266.06</v>
      </c>
      <c r="G494" s="33" t="s">
        <v>34</v>
      </c>
    </row>
    <row r="495" spans="1:7" x14ac:dyDescent="0.3">
      <c r="A495" s="32" t="s">
        <v>535</v>
      </c>
      <c r="B495" s="27">
        <v>45380</v>
      </c>
      <c r="C495" s="26" t="s">
        <v>20</v>
      </c>
      <c r="D495" s="26" t="s">
        <v>14</v>
      </c>
      <c r="E495" s="26" t="s">
        <v>46</v>
      </c>
      <c r="F495" s="28">
        <v>38352.26</v>
      </c>
      <c r="G495" s="33" t="s">
        <v>35</v>
      </c>
    </row>
    <row r="496" spans="1:7" x14ac:dyDescent="0.3">
      <c r="A496" s="32" t="s">
        <v>536</v>
      </c>
      <c r="B496" s="27">
        <v>45380</v>
      </c>
      <c r="C496" s="26" t="s">
        <v>20</v>
      </c>
      <c r="D496" s="26" t="s">
        <v>15</v>
      </c>
      <c r="E496" s="26" t="s">
        <v>28</v>
      </c>
      <c r="F496" s="28">
        <v>24222.59</v>
      </c>
      <c r="G496" s="33" t="s">
        <v>34</v>
      </c>
    </row>
    <row r="497" spans="1:7" x14ac:dyDescent="0.3">
      <c r="A497" s="32" t="s">
        <v>537</v>
      </c>
      <c r="B497" s="27">
        <v>45380</v>
      </c>
      <c r="C497" s="26" t="s">
        <v>20</v>
      </c>
      <c r="D497" s="26" t="s">
        <v>15</v>
      </c>
      <c r="E497" s="26" t="s">
        <v>29</v>
      </c>
      <c r="F497" s="28">
        <v>5953.08</v>
      </c>
      <c r="G497" s="33" t="s">
        <v>34</v>
      </c>
    </row>
    <row r="498" spans="1:7" x14ac:dyDescent="0.3">
      <c r="A498" s="32" t="s">
        <v>538</v>
      </c>
      <c r="B498" s="27">
        <v>45380</v>
      </c>
      <c r="C498" s="26" t="s">
        <v>20</v>
      </c>
      <c r="D498" s="26" t="s">
        <v>15</v>
      </c>
      <c r="E498" s="26" t="s">
        <v>27</v>
      </c>
      <c r="F498" s="28">
        <v>23795.13</v>
      </c>
      <c r="G498" s="33" t="s">
        <v>34</v>
      </c>
    </row>
    <row r="499" spans="1:7" x14ac:dyDescent="0.3">
      <c r="A499" s="32" t="s">
        <v>539</v>
      </c>
      <c r="B499" s="27">
        <v>45381</v>
      </c>
      <c r="C499" s="26" t="s">
        <v>20</v>
      </c>
      <c r="D499" s="26" t="s">
        <v>14</v>
      </c>
      <c r="E499" s="26" t="s">
        <v>46</v>
      </c>
      <c r="F499" s="28">
        <v>42206.78</v>
      </c>
      <c r="G499" s="33" t="s">
        <v>34</v>
      </c>
    </row>
    <row r="500" spans="1:7" x14ac:dyDescent="0.3">
      <c r="A500" s="32" t="s">
        <v>540</v>
      </c>
      <c r="B500" s="27">
        <v>45381</v>
      </c>
      <c r="C500" s="26" t="s">
        <v>20</v>
      </c>
      <c r="D500" s="26" t="s">
        <v>15</v>
      </c>
      <c r="E500" s="26" t="s">
        <v>27</v>
      </c>
      <c r="F500" s="28">
        <v>17861.03</v>
      </c>
      <c r="G500" s="33" t="s">
        <v>34</v>
      </c>
    </row>
    <row r="501" spans="1:7" x14ac:dyDescent="0.3">
      <c r="A501" s="32" t="s">
        <v>541</v>
      </c>
      <c r="B501" s="27">
        <v>45381</v>
      </c>
      <c r="C501" s="26" t="s">
        <v>20</v>
      </c>
      <c r="D501" s="26" t="s">
        <v>15</v>
      </c>
      <c r="E501" s="26" t="s">
        <v>27</v>
      </c>
      <c r="F501" s="28">
        <v>10322.61</v>
      </c>
      <c r="G501" s="33" t="s">
        <v>35</v>
      </c>
    </row>
    <row r="502" spans="1:7" x14ac:dyDescent="0.3">
      <c r="A502" s="32" t="s">
        <v>542</v>
      </c>
      <c r="B502" s="27">
        <v>45381</v>
      </c>
      <c r="C502" s="26" t="s">
        <v>20</v>
      </c>
      <c r="D502" s="26" t="s">
        <v>15</v>
      </c>
      <c r="E502" s="26" t="s">
        <v>27</v>
      </c>
      <c r="F502" s="28">
        <v>12044.37</v>
      </c>
      <c r="G502" s="33" t="s">
        <v>35</v>
      </c>
    </row>
    <row r="503" spans="1:7" x14ac:dyDescent="0.3">
      <c r="A503" s="32" t="s">
        <v>543</v>
      </c>
      <c r="B503" s="27">
        <v>45382</v>
      </c>
      <c r="C503" s="26" t="s">
        <v>20</v>
      </c>
      <c r="D503" s="26" t="s">
        <v>15</v>
      </c>
      <c r="E503" s="26" t="s">
        <v>31</v>
      </c>
      <c r="F503" s="28">
        <v>4434.8500000000004</v>
      </c>
      <c r="G503" s="33" t="s">
        <v>34</v>
      </c>
    </row>
    <row r="504" spans="1:7" x14ac:dyDescent="0.3">
      <c r="A504" s="32" t="s">
        <v>544</v>
      </c>
      <c r="B504" s="27">
        <v>45382</v>
      </c>
      <c r="C504" s="26" t="s">
        <v>20</v>
      </c>
      <c r="D504" s="26" t="s">
        <v>14</v>
      </c>
      <c r="E504" s="26" t="s">
        <v>46</v>
      </c>
      <c r="F504" s="28">
        <v>40497.360000000001</v>
      </c>
      <c r="G504" s="33" t="s">
        <v>35</v>
      </c>
    </row>
    <row r="505" spans="1:7" x14ac:dyDescent="0.3">
      <c r="A505" s="32" t="s">
        <v>545</v>
      </c>
      <c r="B505" s="27">
        <v>45382</v>
      </c>
      <c r="C505" s="26" t="s">
        <v>20</v>
      </c>
      <c r="D505" s="26" t="s">
        <v>15</v>
      </c>
      <c r="E505" s="26" t="s">
        <v>27</v>
      </c>
      <c r="F505" s="28">
        <v>11210.35</v>
      </c>
      <c r="G505" s="33" t="s">
        <v>34</v>
      </c>
    </row>
    <row r="506" spans="1:7" x14ac:dyDescent="0.3">
      <c r="A506" s="32" t="s">
        <v>546</v>
      </c>
      <c r="B506" s="27">
        <v>45382</v>
      </c>
      <c r="C506" s="26" t="s">
        <v>20</v>
      </c>
      <c r="D506" s="26" t="s">
        <v>15</v>
      </c>
      <c r="E506" s="26" t="s">
        <v>31</v>
      </c>
      <c r="F506" s="28">
        <v>3808.88</v>
      </c>
      <c r="G506" s="33" t="s">
        <v>35</v>
      </c>
    </row>
    <row r="507" spans="1:7" x14ac:dyDescent="0.3">
      <c r="A507" s="32" t="s">
        <v>547</v>
      </c>
      <c r="B507" s="27">
        <v>45382</v>
      </c>
      <c r="C507" s="26" t="s">
        <v>20</v>
      </c>
      <c r="D507" s="26" t="s">
        <v>14</v>
      </c>
      <c r="E507" s="26" t="s">
        <v>46</v>
      </c>
      <c r="F507" s="28">
        <v>70936.710000000006</v>
      </c>
      <c r="G507" s="33" t="s">
        <v>35</v>
      </c>
    </row>
    <row r="508" spans="1:7" x14ac:dyDescent="0.3">
      <c r="A508" s="32" t="s">
        <v>548</v>
      </c>
      <c r="B508" s="27">
        <v>45382</v>
      </c>
      <c r="C508" s="26" t="s">
        <v>20</v>
      </c>
      <c r="D508" s="26" t="s">
        <v>15</v>
      </c>
      <c r="E508" s="26" t="s">
        <v>27</v>
      </c>
      <c r="F508" s="28">
        <v>19153.509999999998</v>
      </c>
      <c r="G508" s="33" t="s">
        <v>34</v>
      </c>
    </row>
    <row r="509" spans="1:7" x14ac:dyDescent="0.3">
      <c r="A509" s="32" t="s">
        <v>549</v>
      </c>
      <c r="B509" s="27">
        <v>45383</v>
      </c>
      <c r="C509" s="26" t="s">
        <v>21</v>
      </c>
      <c r="D509" s="26" t="s">
        <v>15</v>
      </c>
      <c r="E509" s="26" t="s">
        <v>27</v>
      </c>
      <c r="F509" s="28">
        <v>7096.16</v>
      </c>
      <c r="G509" s="33" t="s">
        <v>35</v>
      </c>
    </row>
    <row r="510" spans="1:7" x14ac:dyDescent="0.3">
      <c r="A510" s="32" t="s">
        <v>550</v>
      </c>
      <c r="B510" s="27">
        <v>45383</v>
      </c>
      <c r="C510" s="26" t="s">
        <v>21</v>
      </c>
      <c r="D510" s="26" t="s">
        <v>15</v>
      </c>
      <c r="E510" s="26" t="s">
        <v>30</v>
      </c>
      <c r="F510" s="28">
        <v>19919.71</v>
      </c>
      <c r="G510" s="33" t="s">
        <v>34</v>
      </c>
    </row>
    <row r="511" spans="1:7" x14ac:dyDescent="0.3">
      <c r="A511" s="32" t="s">
        <v>551</v>
      </c>
      <c r="B511" s="27">
        <v>45384</v>
      </c>
      <c r="C511" s="26" t="s">
        <v>21</v>
      </c>
      <c r="D511" s="26" t="s">
        <v>15</v>
      </c>
      <c r="E511" s="26" t="s">
        <v>29</v>
      </c>
      <c r="F511" s="28">
        <v>3756.73</v>
      </c>
      <c r="G511" s="33" t="s">
        <v>34</v>
      </c>
    </row>
    <row r="512" spans="1:7" x14ac:dyDescent="0.3">
      <c r="A512" s="32" t="s">
        <v>552</v>
      </c>
      <c r="B512" s="27">
        <v>45384</v>
      </c>
      <c r="C512" s="26" t="s">
        <v>21</v>
      </c>
      <c r="D512" s="26" t="s">
        <v>15</v>
      </c>
      <c r="E512" s="26" t="s">
        <v>28</v>
      </c>
      <c r="F512" s="28">
        <v>16564.169999999998</v>
      </c>
      <c r="G512" s="33" t="s">
        <v>35</v>
      </c>
    </row>
    <row r="513" spans="1:7" x14ac:dyDescent="0.3">
      <c r="A513" s="32" t="s">
        <v>553</v>
      </c>
      <c r="B513" s="27">
        <v>45384</v>
      </c>
      <c r="C513" s="26" t="s">
        <v>21</v>
      </c>
      <c r="D513" s="26" t="s">
        <v>15</v>
      </c>
      <c r="E513" s="26" t="s">
        <v>28</v>
      </c>
      <c r="F513" s="28">
        <v>14203.91</v>
      </c>
      <c r="G513" s="33" t="s">
        <v>34</v>
      </c>
    </row>
    <row r="514" spans="1:7" x14ac:dyDescent="0.3">
      <c r="A514" s="32" t="s">
        <v>554</v>
      </c>
      <c r="B514" s="27">
        <v>45384</v>
      </c>
      <c r="C514" s="26" t="s">
        <v>21</v>
      </c>
      <c r="D514" s="26" t="s">
        <v>15</v>
      </c>
      <c r="E514" s="26" t="s">
        <v>29</v>
      </c>
      <c r="F514" s="28">
        <v>6459.79</v>
      </c>
      <c r="G514" s="33" t="s">
        <v>34</v>
      </c>
    </row>
    <row r="515" spans="1:7" x14ac:dyDescent="0.3">
      <c r="A515" s="32" t="s">
        <v>555</v>
      </c>
      <c r="B515" s="27">
        <v>45384</v>
      </c>
      <c r="C515" s="26" t="s">
        <v>21</v>
      </c>
      <c r="D515" s="26" t="s">
        <v>15</v>
      </c>
      <c r="E515" s="26" t="s">
        <v>27</v>
      </c>
      <c r="F515" s="28">
        <v>19853.25</v>
      </c>
      <c r="G515" s="33" t="s">
        <v>34</v>
      </c>
    </row>
    <row r="516" spans="1:7" x14ac:dyDescent="0.3">
      <c r="A516" s="32" t="s">
        <v>556</v>
      </c>
      <c r="B516" s="27">
        <v>45385</v>
      </c>
      <c r="C516" s="26" t="s">
        <v>21</v>
      </c>
      <c r="D516" s="26" t="s">
        <v>14</v>
      </c>
      <c r="E516" s="26" t="s">
        <v>46</v>
      </c>
      <c r="F516" s="28">
        <v>34576.980000000003</v>
      </c>
      <c r="G516" s="33" t="s">
        <v>35</v>
      </c>
    </row>
    <row r="517" spans="1:7" x14ac:dyDescent="0.3">
      <c r="A517" s="32" t="s">
        <v>557</v>
      </c>
      <c r="B517" s="27">
        <v>45385</v>
      </c>
      <c r="C517" s="26" t="s">
        <v>21</v>
      </c>
      <c r="D517" s="26" t="s">
        <v>14</v>
      </c>
      <c r="E517" s="26" t="s">
        <v>46</v>
      </c>
      <c r="F517" s="28">
        <v>77075.63</v>
      </c>
      <c r="G517" s="33" t="s">
        <v>34</v>
      </c>
    </row>
    <row r="518" spans="1:7" x14ac:dyDescent="0.3">
      <c r="A518" s="32" t="s">
        <v>558</v>
      </c>
      <c r="B518" s="27">
        <v>45385</v>
      </c>
      <c r="C518" s="26" t="s">
        <v>21</v>
      </c>
      <c r="D518" s="26" t="s">
        <v>15</v>
      </c>
      <c r="E518" s="26" t="s">
        <v>31</v>
      </c>
      <c r="F518" s="28">
        <v>16845.189999999999</v>
      </c>
      <c r="G518" s="33" t="s">
        <v>34</v>
      </c>
    </row>
    <row r="519" spans="1:7" x14ac:dyDescent="0.3">
      <c r="A519" s="32" t="s">
        <v>559</v>
      </c>
      <c r="B519" s="27">
        <v>45386</v>
      </c>
      <c r="C519" s="26" t="s">
        <v>21</v>
      </c>
      <c r="D519" s="26" t="s">
        <v>15</v>
      </c>
      <c r="E519" s="26" t="s">
        <v>31</v>
      </c>
      <c r="F519" s="28">
        <v>5396.87</v>
      </c>
      <c r="G519" s="33" t="s">
        <v>35</v>
      </c>
    </row>
    <row r="520" spans="1:7" x14ac:dyDescent="0.3">
      <c r="A520" s="32" t="s">
        <v>560</v>
      </c>
      <c r="B520" s="27">
        <v>45386</v>
      </c>
      <c r="C520" s="26" t="s">
        <v>21</v>
      </c>
      <c r="D520" s="26" t="s">
        <v>15</v>
      </c>
      <c r="E520" s="26" t="s">
        <v>29</v>
      </c>
      <c r="F520" s="28">
        <v>4364.5</v>
      </c>
      <c r="G520" s="33" t="s">
        <v>35</v>
      </c>
    </row>
    <row r="521" spans="1:7" x14ac:dyDescent="0.3">
      <c r="A521" s="32" t="s">
        <v>561</v>
      </c>
      <c r="B521" s="27">
        <v>45386</v>
      </c>
      <c r="C521" s="26" t="s">
        <v>21</v>
      </c>
      <c r="D521" s="26" t="s">
        <v>14</v>
      </c>
      <c r="E521" s="26" t="s">
        <v>46</v>
      </c>
      <c r="F521" s="28">
        <v>27917.78</v>
      </c>
      <c r="G521" s="33" t="s">
        <v>34</v>
      </c>
    </row>
    <row r="522" spans="1:7" x14ac:dyDescent="0.3">
      <c r="A522" s="32" t="s">
        <v>562</v>
      </c>
      <c r="B522" s="27">
        <v>45386</v>
      </c>
      <c r="C522" s="26" t="s">
        <v>21</v>
      </c>
      <c r="D522" s="26" t="s">
        <v>15</v>
      </c>
      <c r="E522" s="26" t="s">
        <v>27</v>
      </c>
      <c r="F522" s="28">
        <v>5990.48</v>
      </c>
      <c r="G522" s="33" t="s">
        <v>34</v>
      </c>
    </row>
    <row r="523" spans="1:7" x14ac:dyDescent="0.3">
      <c r="A523" s="32" t="s">
        <v>563</v>
      </c>
      <c r="B523" s="27">
        <v>45386</v>
      </c>
      <c r="C523" s="26" t="s">
        <v>21</v>
      </c>
      <c r="D523" s="26" t="s">
        <v>15</v>
      </c>
      <c r="E523" s="26" t="s">
        <v>29</v>
      </c>
      <c r="F523" s="28">
        <v>5516.01</v>
      </c>
      <c r="G523" s="33" t="s">
        <v>34</v>
      </c>
    </row>
    <row r="524" spans="1:7" x14ac:dyDescent="0.3">
      <c r="A524" s="32" t="s">
        <v>564</v>
      </c>
      <c r="B524" s="27">
        <v>45386</v>
      </c>
      <c r="C524" s="26" t="s">
        <v>21</v>
      </c>
      <c r="D524" s="26" t="s">
        <v>15</v>
      </c>
      <c r="E524" s="26" t="s">
        <v>27</v>
      </c>
      <c r="F524" s="28">
        <v>19460.5</v>
      </c>
      <c r="G524" s="33" t="s">
        <v>34</v>
      </c>
    </row>
    <row r="525" spans="1:7" x14ac:dyDescent="0.3">
      <c r="A525" s="32" t="s">
        <v>565</v>
      </c>
      <c r="B525" s="27">
        <v>45387</v>
      </c>
      <c r="C525" s="26" t="s">
        <v>21</v>
      </c>
      <c r="D525" s="26" t="s">
        <v>15</v>
      </c>
      <c r="E525" s="26" t="s">
        <v>27</v>
      </c>
      <c r="F525" s="28">
        <v>3733.13</v>
      </c>
      <c r="G525" s="33" t="s">
        <v>34</v>
      </c>
    </row>
    <row r="526" spans="1:7" x14ac:dyDescent="0.3">
      <c r="A526" s="32" t="s">
        <v>566</v>
      </c>
      <c r="B526" s="27">
        <v>45387</v>
      </c>
      <c r="C526" s="26" t="s">
        <v>21</v>
      </c>
      <c r="D526" s="26" t="s">
        <v>15</v>
      </c>
      <c r="E526" s="26" t="s">
        <v>27</v>
      </c>
      <c r="F526" s="28">
        <v>23879.72</v>
      </c>
      <c r="G526" s="33" t="s">
        <v>35</v>
      </c>
    </row>
    <row r="527" spans="1:7" x14ac:dyDescent="0.3">
      <c r="A527" s="32" t="s">
        <v>567</v>
      </c>
      <c r="B527" s="27">
        <v>45388</v>
      </c>
      <c r="C527" s="26" t="s">
        <v>21</v>
      </c>
      <c r="D527" s="26" t="s">
        <v>15</v>
      </c>
      <c r="E527" s="26" t="s">
        <v>28</v>
      </c>
      <c r="F527" s="28">
        <v>16442.82</v>
      </c>
      <c r="G527" s="33" t="s">
        <v>35</v>
      </c>
    </row>
    <row r="528" spans="1:7" x14ac:dyDescent="0.3">
      <c r="A528" s="32" t="s">
        <v>568</v>
      </c>
      <c r="B528" s="27">
        <v>45388</v>
      </c>
      <c r="C528" s="26" t="s">
        <v>21</v>
      </c>
      <c r="D528" s="26" t="s">
        <v>15</v>
      </c>
      <c r="E528" s="26" t="s">
        <v>31</v>
      </c>
      <c r="F528" s="28">
        <v>12670.92</v>
      </c>
      <c r="G528" s="33" t="s">
        <v>34</v>
      </c>
    </row>
    <row r="529" spans="1:7" x14ac:dyDescent="0.3">
      <c r="A529" s="32" t="s">
        <v>569</v>
      </c>
      <c r="B529" s="27">
        <v>45389</v>
      </c>
      <c r="C529" s="26" t="s">
        <v>21</v>
      </c>
      <c r="D529" s="26" t="s">
        <v>14</v>
      </c>
      <c r="E529" s="26" t="s">
        <v>46</v>
      </c>
      <c r="F529" s="28">
        <v>49461.48</v>
      </c>
      <c r="G529" s="33" t="s">
        <v>34</v>
      </c>
    </row>
    <row r="530" spans="1:7" x14ac:dyDescent="0.3">
      <c r="A530" s="32" t="s">
        <v>570</v>
      </c>
      <c r="B530" s="27">
        <v>45389</v>
      </c>
      <c r="C530" s="26" t="s">
        <v>21</v>
      </c>
      <c r="D530" s="26" t="s">
        <v>14</v>
      </c>
      <c r="E530" s="26" t="s">
        <v>46</v>
      </c>
      <c r="F530" s="28">
        <v>50562.77</v>
      </c>
      <c r="G530" s="33" t="s">
        <v>35</v>
      </c>
    </row>
    <row r="531" spans="1:7" x14ac:dyDescent="0.3">
      <c r="A531" s="32" t="s">
        <v>571</v>
      </c>
      <c r="B531" s="27">
        <v>45389</v>
      </c>
      <c r="C531" s="26" t="s">
        <v>21</v>
      </c>
      <c r="D531" s="26" t="s">
        <v>15</v>
      </c>
      <c r="E531" s="26" t="s">
        <v>29</v>
      </c>
      <c r="F531" s="28">
        <v>17666.07</v>
      </c>
      <c r="G531" s="33" t="s">
        <v>34</v>
      </c>
    </row>
    <row r="532" spans="1:7" x14ac:dyDescent="0.3">
      <c r="A532" s="32" t="s">
        <v>572</v>
      </c>
      <c r="B532" s="27">
        <v>45389</v>
      </c>
      <c r="C532" s="26" t="s">
        <v>21</v>
      </c>
      <c r="D532" s="26" t="s">
        <v>15</v>
      </c>
      <c r="E532" s="26" t="s">
        <v>29</v>
      </c>
      <c r="F532" s="28">
        <v>22287.11</v>
      </c>
      <c r="G532" s="33" t="s">
        <v>36</v>
      </c>
    </row>
    <row r="533" spans="1:7" x14ac:dyDescent="0.3">
      <c r="A533" s="32" t="s">
        <v>573</v>
      </c>
      <c r="B533" s="27">
        <v>45389</v>
      </c>
      <c r="C533" s="26" t="s">
        <v>21</v>
      </c>
      <c r="D533" s="26" t="s">
        <v>15</v>
      </c>
      <c r="E533" s="26" t="s">
        <v>28</v>
      </c>
      <c r="F533" s="28">
        <v>16788.810000000001</v>
      </c>
      <c r="G533" s="33" t="s">
        <v>34</v>
      </c>
    </row>
    <row r="534" spans="1:7" x14ac:dyDescent="0.3">
      <c r="A534" s="32" t="s">
        <v>574</v>
      </c>
      <c r="B534" s="27">
        <v>45389</v>
      </c>
      <c r="C534" s="26" t="s">
        <v>21</v>
      </c>
      <c r="D534" s="26" t="s">
        <v>15</v>
      </c>
      <c r="E534" s="26" t="s">
        <v>27</v>
      </c>
      <c r="F534" s="28">
        <v>24690.23</v>
      </c>
      <c r="G534" s="33" t="s">
        <v>34</v>
      </c>
    </row>
    <row r="535" spans="1:7" x14ac:dyDescent="0.3">
      <c r="A535" s="32" t="s">
        <v>575</v>
      </c>
      <c r="B535" s="27">
        <v>45389</v>
      </c>
      <c r="C535" s="26" t="s">
        <v>21</v>
      </c>
      <c r="D535" s="26" t="s">
        <v>15</v>
      </c>
      <c r="E535" s="26" t="s">
        <v>28</v>
      </c>
      <c r="F535" s="28">
        <v>9433.7900000000009</v>
      </c>
      <c r="G535" s="33" t="s">
        <v>35</v>
      </c>
    </row>
    <row r="536" spans="1:7" x14ac:dyDescent="0.3">
      <c r="A536" s="32" t="s">
        <v>576</v>
      </c>
      <c r="B536" s="27">
        <v>45389</v>
      </c>
      <c r="C536" s="26" t="s">
        <v>21</v>
      </c>
      <c r="D536" s="26" t="s">
        <v>15</v>
      </c>
      <c r="E536" s="26" t="s">
        <v>31</v>
      </c>
      <c r="F536" s="28">
        <v>24332.38</v>
      </c>
      <c r="G536" s="33" t="s">
        <v>34</v>
      </c>
    </row>
    <row r="537" spans="1:7" x14ac:dyDescent="0.3">
      <c r="A537" s="32" t="s">
        <v>577</v>
      </c>
      <c r="B537" s="27">
        <v>45389</v>
      </c>
      <c r="C537" s="26" t="s">
        <v>21</v>
      </c>
      <c r="D537" s="26" t="s">
        <v>15</v>
      </c>
      <c r="E537" s="26" t="s">
        <v>27</v>
      </c>
      <c r="F537" s="28">
        <v>9271.19</v>
      </c>
      <c r="G537" s="33" t="s">
        <v>35</v>
      </c>
    </row>
    <row r="538" spans="1:7" x14ac:dyDescent="0.3">
      <c r="A538" s="32" t="s">
        <v>578</v>
      </c>
      <c r="B538" s="27">
        <v>45389</v>
      </c>
      <c r="C538" s="26" t="s">
        <v>21</v>
      </c>
      <c r="D538" s="26" t="s">
        <v>15</v>
      </c>
      <c r="E538" s="26" t="s">
        <v>31</v>
      </c>
      <c r="F538" s="28">
        <v>12114.54</v>
      </c>
      <c r="G538" s="33" t="s">
        <v>34</v>
      </c>
    </row>
    <row r="539" spans="1:7" x14ac:dyDescent="0.3">
      <c r="A539" s="32" t="s">
        <v>579</v>
      </c>
      <c r="B539" s="27">
        <v>45389</v>
      </c>
      <c r="C539" s="26" t="s">
        <v>21</v>
      </c>
      <c r="D539" s="26" t="s">
        <v>14</v>
      </c>
      <c r="E539" s="26" t="s">
        <v>46</v>
      </c>
      <c r="F539" s="28">
        <v>42824.480000000003</v>
      </c>
      <c r="G539" s="33" t="s">
        <v>34</v>
      </c>
    </row>
    <row r="540" spans="1:7" x14ac:dyDescent="0.3">
      <c r="A540" s="32" t="s">
        <v>580</v>
      </c>
      <c r="B540" s="27">
        <v>45389</v>
      </c>
      <c r="C540" s="26" t="s">
        <v>21</v>
      </c>
      <c r="D540" s="26" t="s">
        <v>15</v>
      </c>
      <c r="E540" s="26" t="s">
        <v>28</v>
      </c>
      <c r="F540" s="28">
        <v>16521.86</v>
      </c>
      <c r="G540" s="33" t="s">
        <v>35</v>
      </c>
    </row>
    <row r="541" spans="1:7" x14ac:dyDescent="0.3">
      <c r="A541" s="32" t="s">
        <v>581</v>
      </c>
      <c r="B541" s="27">
        <v>45390</v>
      </c>
      <c r="C541" s="26" t="s">
        <v>21</v>
      </c>
      <c r="D541" s="26" t="s">
        <v>14</v>
      </c>
      <c r="E541" s="26" t="s">
        <v>46</v>
      </c>
      <c r="F541" s="28">
        <v>65743.08</v>
      </c>
      <c r="G541" s="33" t="s">
        <v>34</v>
      </c>
    </row>
    <row r="542" spans="1:7" x14ac:dyDescent="0.3">
      <c r="A542" s="32" t="s">
        <v>582</v>
      </c>
      <c r="B542" s="27">
        <v>45390</v>
      </c>
      <c r="C542" s="26" t="s">
        <v>21</v>
      </c>
      <c r="D542" s="26" t="s">
        <v>15</v>
      </c>
      <c r="E542" s="26" t="s">
        <v>28</v>
      </c>
      <c r="F542" s="28">
        <v>15602.65</v>
      </c>
      <c r="G542" s="33" t="s">
        <v>35</v>
      </c>
    </row>
    <row r="543" spans="1:7" x14ac:dyDescent="0.3">
      <c r="A543" s="32" t="s">
        <v>583</v>
      </c>
      <c r="B543" s="27">
        <v>45390</v>
      </c>
      <c r="C543" s="26" t="s">
        <v>21</v>
      </c>
      <c r="D543" s="26" t="s">
        <v>15</v>
      </c>
      <c r="E543" s="26" t="s">
        <v>29</v>
      </c>
      <c r="F543" s="28">
        <v>10094.67</v>
      </c>
      <c r="G543" s="33" t="s">
        <v>34</v>
      </c>
    </row>
    <row r="544" spans="1:7" x14ac:dyDescent="0.3">
      <c r="A544" s="32" t="s">
        <v>584</v>
      </c>
      <c r="B544" s="27">
        <v>45390</v>
      </c>
      <c r="C544" s="26" t="s">
        <v>21</v>
      </c>
      <c r="D544" s="26" t="s">
        <v>14</v>
      </c>
      <c r="E544" s="26" t="s">
        <v>46</v>
      </c>
      <c r="F544" s="28">
        <v>15193.35</v>
      </c>
      <c r="G544" s="33" t="s">
        <v>34</v>
      </c>
    </row>
    <row r="545" spans="1:7" x14ac:dyDescent="0.3">
      <c r="A545" s="32" t="s">
        <v>585</v>
      </c>
      <c r="B545" s="27">
        <v>45391</v>
      </c>
      <c r="C545" s="26" t="s">
        <v>21</v>
      </c>
      <c r="D545" s="26" t="s">
        <v>15</v>
      </c>
      <c r="E545" s="26" t="s">
        <v>28</v>
      </c>
      <c r="F545" s="28">
        <v>12620.08</v>
      </c>
      <c r="G545" s="33" t="s">
        <v>35</v>
      </c>
    </row>
    <row r="546" spans="1:7" x14ac:dyDescent="0.3">
      <c r="A546" s="32" t="s">
        <v>586</v>
      </c>
      <c r="B546" s="27">
        <v>45391</v>
      </c>
      <c r="C546" s="26" t="s">
        <v>21</v>
      </c>
      <c r="D546" s="26" t="s">
        <v>15</v>
      </c>
      <c r="E546" s="26" t="s">
        <v>31</v>
      </c>
      <c r="F546" s="28">
        <v>2864.97</v>
      </c>
      <c r="G546" s="33" t="s">
        <v>34</v>
      </c>
    </row>
    <row r="547" spans="1:7" x14ac:dyDescent="0.3">
      <c r="A547" s="32" t="s">
        <v>587</v>
      </c>
      <c r="B547" s="27">
        <v>45391</v>
      </c>
      <c r="C547" s="26" t="s">
        <v>21</v>
      </c>
      <c r="D547" s="26" t="s">
        <v>15</v>
      </c>
      <c r="E547" s="26" t="s">
        <v>31</v>
      </c>
      <c r="F547" s="28">
        <v>10480.959999999999</v>
      </c>
      <c r="G547" s="33" t="s">
        <v>34</v>
      </c>
    </row>
    <row r="548" spans="1:7" x14ac:dyDescent="0.3">
      <c r="A548" s="32" t="s">
        <v>588</v>
      </c>
      <c r="B548" s="27">
        <v>45391</v>
      </c>
      <c r="C548" s="26" t="s">
        <v>21</v>
      </c>
      <c r="D548" s="26" t="s">
        <v>14</v>
      </c>
      <c r="E548" s="26" t="s">
        <v>46</v>
      </c>
      <c r="F548" s="28">
        <v>30095.39</v>
      </c>
      <c r="G548" s="33" t="s">
        <v>34</v>
      </c>
    </row>
    <row r="549" spans="1:7" x14ac:dyDescent="0.3">
      <c r="A549" s="32" t="s">
        <v>589</v>
      </c>
      <c r="B549" s="27">
        <v>45392</v>
      </c>
      <c r="C549" s="26" t="s">
        <v>21</v>
      </c>
      <c r="D549" s="26" t="s">
        <v>15</v>
      </c>
      <c r="E549" s="26" t="s">
        <v>28</v>
      </c>
      <c r="F549" s="28">
        <v>16827.330000000002</v>
      </c>
      <c r="G549" s="33" t="s">
        <v>34</v>
      </c>
    </row>
    <row r="550" spans="1:7" x14ac:dyDescent="0.3">
      <c r="A550" s="32" t="s">
        <v>590</v>
      </c>
      <c r="B550" s="27">
        <v>45393</v>
      </c>
      <c r="C550" s="26" t="s">
        <v>21</v>
      </c>
      <c r="D550" s="26" t="s">
        <v>15</v>
      </c>
      <c r="E550" s="26" t="s">
        <v>27</v>
      </c>
      <c r="F550" s="28">
        <v>24479.48</v>
      </c>
      <c r="G550" s="33" t="s">
        <v>34</v>
      </c>
    </row>
    <row r="551" spans="1:7" x14ac:dyDescent="0.3">
      <c r="A551" s="32" t="s">
        <v>591</v>
      </c>
      <c r="B551" s="27">
        <v>45393</v>
      </c>
      <c r="C551" s="26" t="s">
        <v>21</v>
      </c>
      <c r="D551" s="26" t="s">
        <v>15</v>
      </c>
      <c r="E551" s="26" t="s">
        <v>28</v>
      </c>
      <c r="F551" s="28">
        <v>4076.82</v>
      </c>
      <c r="G551" s="33" t="s">
        <v>35</v>
      </c>
    </row>
    <row r="552" spans="1:7" x14ac:dyDescent="0.3">
      <c r="A552" s="32" t="s">
        <v>592</v>
      </c>
      <c r="B552" s="27">
        <v>45393</v>
      </c>
      <c r="C552" s="26" t="s">
        <v>21</v>
      </c>
      <c r="D552" s="26" t="s">
        <v>15</v>
      </c>
      <c r="E552" s="26" t="s">
        <v>31</v>
      </c>
      <c r="F552" s="28">
        <v>15663.84</v>
      </c>
      <c r="G552" s="33" t="s">
        <v>36</v>
      </c>
    </row>
    <row r="553" spans="1:7" x14ac:dyDescent="0.3">
      <c r="A553" s="32" t="s">
        <v>593</v>
      </c>
      <c r="B553" s="27">
        <v>45394</v>
      </c>
      <c r="C553" s="26" t="s">
        <v>21</v>
      </c>
      <c r="D553" s="26" t="s">
        <v>15</v>
      </c>
      <c r="E553" s="26" t="s">
        <v>27</v>
      </c>
      <c r="F553" s="28">
        <v>10843.1</v>
      </c>
      <c r="G553" s="33" t="s">
        <v>35</v>
      </c>
    </row>
    <row r="554" spans="1:7" x14ac:dyDescent="0.3">
      <c r="A554" s="32" t="s">
        <v>594</v>
      </c>
      <c r="B554" s="27">
        <v>45394</v>
      </c>
      <c r="C554" s="26" t="s">
        <v>21</v>
      </c>
      <c r="D554" s="26" t="s">
        <v>15</v>
      </c>
      <c r="E554" s="26" t="s">
        <v>29</v>
      </c>
      <c r="F554" s="28">
        <v>15347.58</v>
      </c>
      <c r="G554" s="33" t="s">
        <v>35</v>
      </c>
    </row>
    <row r="555" spans="1:7" x14ac:dyDescent="0.3">
      <c r="A555" s="32" t="s">
        <v>595</v>
      </c>
      <c r="B555" s="27">
        <v>45394</v>
      </c>
      <c r="C555" s="26" t="s">
        <v>21</v>
      </c>
      <c r="D555" s="26" t="s">
        <v>15</v>
      </c>
      <c r="E555" s="26" t="s">
        <v>29</v>
      </c>
      <c r="F555" s="28">
        <v>23947.32</v>
      </c>
      <c r="G555" s="33" t="s">
        <v>35</v>
      </c>
    </row>
    <row r="556" spans="1:7" x14ac:dyDescent="0.3">
      <c r="A556" s="32" t="s">
        <v>596</v>
      </c>
      <c r="B556" s="27">
        <v>45394</v>
      </c>
      <c r="C556" s="26" t="s">
        <v>21</v>
      </c>
      <c r="D556" s="26" t="s">
        <v>15</v>
      </c>
      <c r="E556" s="26" t="s">
        <v>29</v>
      </c>
      <c r="F556" s="28">
        <v>18995.18</v>
      </c>
      <c r="G556" s="33" t="s">
        <v>35</v>
      </c>
    </row>
    <row r="557" spans="1:7" x14ac:dyDescent="0.3">
      <c r="A557" s="32" t="s">
        <v>597</v>
      </c>
      <c r="B557" s="27">
        <v>45394</v>
      </c>
      <c r="C557" s="26" t="s">
        <v>21</v>
      </c>
      <c r="D557" s="26" t="s">
        <v>15</v>
      </c>
      <c r="E557" s="26" t="s">
        <v>27</v>
      </c>
      <c r="F557" s="28">
        <v>2943.52</v>
      </c>
      <c r="G557" s="33" t="s">
        <v>34</v>
      </c>
    </row>
    <row r="558" spans="1:7" x14ac:dyDescent="0.3">
      <c r="A558" s="32" t="s">
        <v>598</v>
      </c>
      <c r="B558" s="27">
        <v>45394</v>
      </c>
      <c r="C558" s="26" t="s">
        <v>21</v>
      </c>
      <c r="D558" s="26" t="s">
        <v>14</v>
      </c>
      <c r="E558" s="26" t="s">
        <v>46</v>
      </c>
      <c r="F558" s="28">
        <v>73633.5</v>
      </c>
      <c r="G558" s="33" t="s">
        <v>36</v>
      </c>
    </row>
    <row r="559" spans="1:7" x14ac:dyDescent="0.3">
      <c r="A559" s="32" t="s">
        <v>599</v>
      </c>
      <c r="B559" s="27">
        <v>45394</v>
      </c>
      <c r="C559" s="26" t="s">
        <v>21</v>
      </c>
      <c r="D559" s="26" t="s">
        <v>14</v>
      </c>
      <c r="E559" s="26" t="s">
        <v>46</v>
      </c>
      <c r="F559" s="28">
        <v>50015.97</v>
      </c>
      <c r="G559" s="33" t="s">
        <v>35</v>
      </c>
    </row>
    <row r="560" spans="1:7" x14ac:dyDescent="0.3">
      <c r="A560" s="32" t="s">
        <v>600</v>
      </c>
      <c r="B560" s="27">
        <v>45394</v>
      </c>
      <c r="C560" s="26" t="s">
        <v>21</v>
      </c>
      <c r="D560" s="26" t="s">
        <v>15</v>
      </c>
      <c r="E560" s="26" t="s">
        <v>29</v>
      </c>
      <c r="F560" s="28">
        <v>6329.51</v>
      </c>
      <c r="G560" s="33" t="s">
        <v>34</v>
      </c>
    </row>
    <row r="561" spans="1:7" x14ac:dyDescent="0.3">
      <c r="A561" s="32" t="s">
        <v>601</v>
      </c>
      <c r="B561" s="27">
        <v>45395</v>
      </c>
      <c r="C561" s="26" t="s">
        <v>21</v>
      </c>
      <c r="D561" s="26" t="s">
        <v>15</v>
      </c>
      <c r="E561" s="26" t="s">
        <v>31</v>
      </c>
      <c r="F561" s="28">
        <v>15915.13</v>
      </c>
      <c r="G561" s="33" t="s">
        <v>34</v>
      </c>
    </row>
    <row r="562" spans="1:7" x14ac:dyDescent="0.3">
      <c r="A562" s="32" t="s">
        <v>602</v>
      </c>
      <c r="B562" s="27">
        <v>45395</v>
      </c>
      <c r="C562" s="26" t="s">
        <v>21</v>
      </c>
      <c r="D562" s="26" t="s">
        <v>15</v>
      </c>
      <c r="E562" s="26" t="s">
        <v>27</v>
      </c>
      <c r="F562" s="28">
        <v>13531.45</v>
      </c>
      <c r="G562" s="33" t="s">
        <v>34</v>
      </c>
    </row>
    <row r="563" spans="1:7" x14ac:dyDescent="0.3">
      <c r="A563" s="32" t="s">
        <v>603</v>
      </c>
      <c r="B563" s="27">
        <v>45395</v>
      </c>
      <c r="C563" s="26" t="s">
        <v>21</v>
      </c>
      <c r="D563" s="26" t="s">
        <v>14</v>
      </c>
      <c r="E563" s="26" t="s">
        <v>46</v>
      </c>
      <c r="F563" s="28">
        <v>77040.570000000007</v>
      </c>
      <c r="G563" s="33" t="s">
        <v>34</v>
      </c>
    </row>
    <row r="564" spans="1:7" x14ac:dyDescent="0.3">
      <c r="A564" s="32" t="s">
        <v>604</v>
      </c>
      <c r="B564" s="27">
        <v>45395</v>
      </c>
      <c r="C564" s="26" t="s">
        <v>21</v>
      </c>
      <c r="D564" s="26" t="s">
        <v>14</v>
      </c>
      <c r="E564" s="26" t="s">
        <v>46</v>
      </c>
      <c r="F564" s="28">
        <v>41536.620000000003</v>
      </c>
      <c r="G564" s="33" t="s">
        <v>35</v>
      </c>
    </row>
    <row r="565" spans="1:7" x14ac:dyDescent="0.3">
      <c r="A565" s="32" t="s">
        <v>605</v>
      </c>
      <c r="B565" s="27">
        <v>45395</v>
      </c>
      <c r="C565" s="26" t="s">
        <v>21</v>
      </c>
      <c r="D565" s="26" t="s">
        <v>14</v>
      </c>
      <c r="E565" s="26" t="s">
        <v>46</v>
      </c>
      <c r="F565" s="28">
        <v>66767.679999999993</v>
      </c>
      <c r="G565" s="33" t="s">
        <v>34</v>
      </c>
    </row>
    <row r="566" spans="1:7" x14ac:dyDescent="0.3">
      <c r="A566" s="32" t="s">
        <v>606</v>
      </c>
      <c r="B566" s="27">
        <v>45395</v>
      </c>
      <c r="C566" s="26" t="s">
        <v>21</v>
      </c>
      <c r="D566" s="26" t="s">
        <v>15</v>
      </c>
      <c r="E566" s="26" t="s">
        <v>27</v>
      </c>
      <c r="F566" s="28">
        <v>21259.68</v>
      </c>
      <c r="G566" s="33" t="s">
        <v>34</v>
      </c>
    </row>
    <row r="567" spans="1:7" x14ac:dyDescent="0.3">
      <c r="A567" s="32" t="s">
        <v>607</v>
      </c>
      <c r="B567" s="27">
        <v>45396</v>
      </c>
      <c r="C567" s="26" t="s">
        <v>21</v>
      </c>
      <c r="D567" s="26" t="s">
        <v>15</v>
      </c>
      <c r="E567" s="26" t="s">
        <v>31</v>
      </c>
      <c r="F567" s="28">
        <v>24594.87</v>
      </c>
      <c r="G567" s="33" t="s">
        <v>36</v>
      </c>
    </row>
    <row r="568" spans="1:7" x14ac:dyDescent="0.3">
      <c r="A568" s="32" t="s">
        <v>608</v>
      </c>
      <c r="B568" s="27">
        <v>45396</v>
      </c>
      <c r="C568" s="26" t="s">
        <v>21</v>
      </c>
      <c r="D568" s="26" t="s">
        <v>15</v>
      </c>
      <c r="E568" s="26" t="s">
        <v>27</v>
      </c>
      <c r="F568" s="28">
        <v>3939.57</v>
      </c>
      <c r="G568" s="33" t="s">
        <v>34</v>
      </c>
    </row>
    <row r="569" spans="1:7" x14ac:dyDescent="0.3">
      <c r="A569" s="32" t="s">
        <v>609</v>
      </c>
      <c r="B569" s="27">
        <v>45396</v>
      </c>
      <c r="C569" s="26" t="s">
        <v>21</v>
      </c>
      <c r="D569" s="26" t="s">
        <v>15</v>
      </c>
      <c r="E569" s="26" t="s">
        <v>31</v>
      </c>
      <c r="F569" s="28">
        <v>16860.919999999998</v>
      </c>
      <c r="G569" s="33" t="s">
        <v>34</v>
      </c>
    </row>
    <row r="570" spans="1:7" x14ac:dyDescent="0.3">
      <c r="A570" s="32" t="s">
        <v>610</v>
      </c>
      <c r="B570" s="27">
        <v>45396</v>
      </c>
      <c r="C570" s="26" t="s">
        <v>21</v>
      </c>
      <c r="D570" s="26" t="s">
        <v>15</v>
      </c>
      <c r="E570" s="26" t="s">
        <v>28</v>
      </c>
      <c r="F570" s="28">
        <v>2900.27</v>
      </c>
      <c r="G570" s="33" t="s">
        <v>34</v>
      </c>
    </row>
    <row r="571" spans="1:7" x14ac:dyDescent="0.3">
      <c r="A571" s="32" t="s">
        <v>611</v>
      </c>
      <c r="B571" s="27">
        <v>45396</v>
      </c>
      <c r="C571" s="26" t="s">
        <v>21</v>
      </c>
      <c r="D571" s="26" t="s">
        <v>14</v>
      </c>
      <c r="E571" s="26" t="s">
        <v>46</v>
      </c>
      <c r="F571" s="28">
        <v>59533.52</v>
      </c>
      <c r="G571" s="33" t="s">
        <v>35</v>
      </c>
    </row>
    <row r="572" spans="1:7" x14ac:dyDescent="0.3">
      <c r="A572" s="32" t="s">
        <v>612</v>
      </c>
      <c r="B572" s="27">
        <v>45396</v>
      </c>
      <c r="C572" s="26" t="s">
        <v>21</v>
      </c>
      <c r="D572" s="26" t="s">
        <v>15</v>
      </c>
      <c r="E572" s="26" t="s">
        <v>27</v>
      </c>
      <c r="F572" s="28">
        <v>24792.68</v>
      </c>
      <c r="G572" s="33" t="s">
        <v>36</v>
      </c>
    </row>
    <row r="573" spans="1:7" x14ac:dyDescent="0.3">
      <c r="A573" s="32" t="s">
        <v>613</v>
      </c>
      <c r="B573" s="27">
        <v>45396</v>
      </c>
      <c r="C573" s="26" t="s">
        <v>21</v>
      </c>
      <c r="D573" s="26" t="s">
        <v>15</v>
      </c>
      <c r="E573" s="26" t="s">
        <v>31</v>
      </c>
      <c r="F573" s="28">
        <v>14053.58</v>
      </c>
      <c r="G573" s="33" t="s">
        <v>34</v>
      </c>
    </row>
    <row r="574" spans="1:7" x14ac:dyDescent="0.3">
      <c r="A574" s="32" t="s">
        <v>614</v>
      </c>
      <c r="B574" s="27">
        <v>45397</v>
      </c>
      <c r="C574" s="26" t="s">
        <v>21</v>
      </c>
      <c r="D574" s="26" t="s">
        <v>15</v>
      </c>
      <c r="E574" s="26" t="s">
        <v>28</v>
      </c>
      <c r="F574" s="28">
        <v>16025.52</v>
      </c>
      <c r="G574" s="33" t="s">
        <v>35</v>
      </c>
    </row>
    <row r="575" spans="1:7" x14ac:dyDescent="0.3">
      <c r="A575" s="32" t="s">
        <v>615</v>
      </c>
      <c r="B575" s="27">
        <v>45397</v>
      </c>
      <c r="C575" s="26" t="s">
        <v>21</v>
      </c>
      <c r="D575" s="26" t="s">
        <v>15</v>
      </c>
      <c r="E575" s="26" t="s">
        <v>28</v>
      </c>
      <c r="F575" s="28">
        <v>10369.65</v>
      </c>
      <c r="G575" s="33" t="s">
        <v>34</v>
      </c>
    </row>
    <row r="576" spans="1:7" x14ac:dyDescent="0.3">
      <c r="A576" s="32" t="s">
        <v>616</v>
      </c>
      <c r="B576" s="27">
        <v>45397</v>
      </c>
      <c r="C576" s="26" t="s">
        <v>21</v>
      </c>
      <c r="D576" s="26" t="s">
        <v>15</v>
      </c>
      <c r="E576" s="26" t="s">
        <v>28</v>
      </c>
      <c r="F576" s="28">
        <v>23112.55</v>
      </c>
      <c r="G576" s="33" t="s">
        <v>36</v>
      </c>
    </row>
    <row r="577" spans="1:7" x14ac:dyDescent="0.3">
      <c r="A577" s="32" t="s">
        <v>617</v>
      </c>
      <c r="B577" s="27">
        <v>45398</v>
      </c>
      <c r="C577" s="26" t="s">
        <v>21</v>
      </c>
      <c r="D577" s="26" t="s">
        <v>15</v>
      </c>
      <c r="E577" s="26" t="s">
        <v>28</v>
      </c>
      <c r="F577" s="28">
        <v>10910.58</v>
      </c>
      <c r="G577" s="33" t="s">
        <v>35</v>
      </c>
    </row>
    <row r="578" spans="1:7" x14ac:dyDescent="0.3">
      <c r="A578" s="32" t="s">
        <v>618</v>
      </c>
      <c r="B578" s="27">
        <v>45398</v>
      </c>
      <c r="C578" s="26" t="s">
        <v>21</v>
      </c>
      <c r="D578" s="26" t="s">
        <v>14</v>
      </c>
      <c r="E578" s="26" t="s">
        <v>46</v>
      </c>
      <c r="F578" s="28">
        <v>64212.54</v>
      </c>
      <c r="G578" s="33" t="s">
        <v>35</v>
      </c>
    </row>
    <row r="579" spans="1:7" x14ac:dyDescent="0.3">
      <c r="A579" s="32" t="s">
        <v>619</v>
      </c>
      <c r="B579" s="27">
        <v>45398</v>
      </c>
      <c r="C579" s="26" t="s">
        <v>21</v>
      </c>
      <c r="D579" s="26" t="s">
        <v>15</v>
      </c>
      <c r="E579" s="26" t="s">
        <v>27</v>
      </c>
      <c r="F579" s="28">
        <v>17614.650000000001</v>
      </c>
      <c r="G579" s="33" t="s">
        <v>34</v>
      </c>
    </row>
    <row r="580" spans="1:7" x14ac:dyDescent="0.3">
      <c r="A580" s="32" t="s">
        <v>620</v>
      </c>
      <c r="B580" s="27">
        <v>45398</v>
      </c>
      <c r="C580" s="26" t="s">
        <v>21</v>
      </c>
      <c r="D580" s="26" t="s">
        <v>15</v>
      </c>
      <c r="E580" s="26" t="s">
        <v>28</v>
      </c>
      <c r="F580" s="28">
        <v>3204.41</v>
      </c>
      <c r="G580" s="33" t="s">
        <v>36</v>
      </c>
    </row>
    <row r="581" spans="1:7" x14ac:dyDescent="0.3">
      <c r="A581" s="32" t="s">
        <v>621</v>
      </c>
      <c r="B581" s="27">
        <v>45399</v>
      </c>
      <c r="C581" s="26" t="s">
        <v>21</v>
      </c>
      <c r="D581" s="26" t="s">
        <v>14</v>
      </c>
      <c r="E581" s="26" t="s">
        <v>46</v>
      </c>
      <c r="F581" s="28">
        <v>54162.06</v>
      </c>
      <c r="G581" s="33" t="s">
        <v>35</v>
      </c>
    </row>
    <row r="582" spans="1:7" x14ac:dyDescent="0.3">
      <c r="A582" s="32" t="s">
        <v>622</v>
      </c>
      <c r="B582" s="27">
        <v>45399</v>
      </c>
      <c r="C582" s="26" t="s">
        <v>21</v>
      </c>
      <c r="D582" s="26" t="s">
        <v>15</v>
      </c>
      <c r="E582" s="26" t="s">
        <v>31</v>
      </c>
      <c r="F582" s="28">
        <v>9696.93</v>
      </c>
      <c r="G582" s="33" t="s">
        <v>34</v>
      </c>
    </row>
    <row r="583" spans="1:7" x14ac:dyDescent="0.3">
      <c r="A583" s="32" t="s">
        <v>623</v>
      </c>
      <c r="B583" s="27">
        <v>45399</v>
      </c>
      <c r="C583" s="26" t="s">
        <v>21</v>
      </c>
      <c r="D583" s="26" t="s">
        <v>15</v>
      </c>
      <c r="E583" s="26" t="s">
        <v>27</v>
      </c>
      <c r="F583" s="28">
        <v>9582.89</v>
      </c>
      <c r="G583" s="33" t="s">
        <v>35</v>
      </c>
    </row>
    <row r="584" spans="1:7" x14ac:dyDescent="0.3">
      <c r="A584" s="32" t="s">
        <v>624</v>
      </c>
      <c r="B584" s="27">
        <v>45399</v>
      </c>
      <c r="C584" s="26" t="s">
        <v>21</v>
      </c>
      <c r="D584" s="26" t="s">
        <v>15</v>
      </c>
      <c r="E584" s="26" t="s">
        <v>29</v>
      </c>
      <c r="F584" s="28">
        <v>14833.15</v>
      </c>
      <c r="G584" s="33" t="s">
        <v>34</v>
      </c>
    </row>
    <row r="585" spans="1:7" x14ac:dyDescent="0.3">
      <c r="A585" s="32" t="s">
        <v>625</v>
      </c>
      <c r="B585" s="27">
        <v>45399</v>
      </c>
      <c r="C585" s="26" t="s">
        <v>21</v>
      </c>
      <c r="D585" s="26" t="s">
        <v>14</v>
      </c>
      <c r="E585" s="26" t="s">
        <v>46</v>
      </c>
      <c r="F585" s="28">
        <v>37059.49</v>
      </c>
      <c r="G585" s="33" t="s">
        <v>35</v>
      </c>
    </row>
    <row r="586" spans="1:7" x14ac:dyDescent="0.3">
      <c r="A586" s="32" t="s">
        <v>626</v>
      </c>
      <c r="B586" s="27">
        <v>45399</v>
      </c>
      <c r="C586" s="26" t="s">
        <v>21</v>
      </c>
      <c r="D586" s="26" t="s">
        <v>15</v>
      </c>
      <c r="E586" s="26" t="s">
        <v>27</v>
      </c>
      <c r="F586" s="28">
        <v>7795.9</v>
      </c>
      <c r="G586" s="33" t="s">
        <v>34</v>
      </c>
    </row>
    <row r="587" spans="1:7" x14ac:dyDescent="0.3">
      <c r="A587" s="32" t="s">
        <v>627</v>
      </c>
      <c r="B587" s="27">
        <v>45399</v>
      </c>
      <c r="C587" s="26" t="s">
        <v>21</v>
      </c>
      <c r="D587" s="26" t="s">
        <v>14</v>
      </c>
      <c r="E587" s="26" t="s">
        <v>46</v>
      </c>
      <c r="F587" s="28">
        <v>69609.64</v>
      </c>
      <c r="G587" s="33" t="s">
        <v>35</v>
      </c>
    </row>
    <row r="588" spans="1:7" x14ac:dyDescent="0.3">
      <c r="A588" s="32" t="s">
        <v>628</v>
      </c>
      <c r="B588" s="27">
        <v>45400</v>
      </c>
      <c r="C588" s="26" t="s">
        <v>21</v>
      </c>
      <c r="D588" s="26" t="s">
        <v>14</v>
      </c>
      <c r="E588" s="26" t="s">
        <v>46</v>
      </c>
      <c r="F588" s="28">
        <v>77508.7</v>
      </c>
      <c r="G588" s="33" t="s">
        <v>34</v>
      </c>
    </row>
    <row r="589" spans="1:7" x14ac:dyDescent="0.3">
      <c r="A589" s="32" t="s">
        <v>629</v>
      </c>
      <c r="B589" s="27">
        <v>45400</v>
      </c>
      <c r="C589" s="26" t="s">
        <v>21</v>
      </c>
      <c r="D589" s="26" t="s">
        <v>14</v>
      </c>
      <c r="E589" s="26" t="s">
        <v>46</v>
      </c>
      <c r="F589" s="28">
        <v>52189.06</v>
      </c>
      <c r="G589" s="33" t="s">
        <v>34</v>
      </c>
    </row>
    <row r="590" spans="1:7" x14ac:dyDescent="0.3">
      <c r="A590" s="32" t="s">
        <v>630</v>
      </c>
      <c r="B590" s="27">
        <v>45400</v>
      </c>
      <c r="C590" s="26" t="s">
        <v>21</v>
      </c>
      <c r="D590" s="26" t="s">
        <v>14</v>
      </c>
      <c r="E590" s="26" t="s">
        <v>46</v>
      </c>
      <c r="F590" s="28">
        <v>20526.13</v>
      </c>
      <c r="G590" s="33" t="s">
        <v>34</v>
      </c>
    </row>
    <row r="591" spans="1:7" x14ac:dyDescent="0.3">
      <c r="A591" s="32" t="s">
        <v>631</v>
      </c>
      <c r="B591" s="27">
        <v>45400</v>
      </c>
      <c r="C591" s="26" t="s">
        <v>21</v>
      </c>
      <c r="D591" s="26" t="s">
        <v>14</v>
      </c>
      <c r="E591" s="26" t="s">
        <v>46</v>
      </c>
      <c r="F591" s="28">
        <v>15705.14</v>
      </c>
      <c r="G591" s="33" t="s">
        <v>34</v>
      </c>
    </row>
    <row r="592" spans="1:7" x14ac:dyDescent="0.3">
      <c r="A592" s="32" t="s">
        <v>632</v>
      </c>
      <c r="B592" s="27">
        <v>45400</v>
      </c>
      <c r="C592" s="26" t="s">
        <v>21</v>
      </c>
      <c r="D592" s="26" t="s">
        <v>14</v>
      </c>
      <c r="E592" s="26" t="s">
        <v>46</v>
      </c>
      <c r="F592" s="28">
        <v>56452.85</v>
      </c>
      <c r="G592" s="33" t="s">
        <v>34</v>
      </c>
    </row>
    <row r="593" spans="1:7" x14ac:dyDescent="0.3">
      <c r="A593" s="32" t="s">
        <v>633</v>
      </c>
      <c r="B593" s="27">
        <v>45400</v>
      </c>
      <c r="C593" s="26" t="s">
        <v>21</v>
      </c>
      <c r="D593" s="26" t="s">
        <v>15</v>
      </c>
      <c r="E593" s="26" t="s">
        <v>30</v>
      </c>
      <c r="F593" s="28">
        <v>23085.17</v>
      </c>
      <c r="G593" s="33" t="s">
        <v>34</v>
      </c>
    </row>
    <row r="594" spans="1:7" x14ac:dyDescent="0.3">
      <c r="A594" s="32" t="s">
        <v>634</v>
      </c>
      <c r="B594" s="27">
        <v>45400</v>
      </c>
      <c r="C594" s="26" t="s">
        <v>21</v>
      </c>
      <c r="D594" s="26" t="s">
        <v>14</v>
      </c>
      <c r="E594" s="26" t="s">
        <v>46</v>
      </c>
      <c r="F594" s="28">
        <v>31716.22</v>
      </c>
      <c r="G594" s="33" t="s">
        <v>34</v>
      </c>
    </row>
    <row r="595" spans="1:7" x14ac:dyDescent="0.3">
      <c r="A595" s="32" t="s">
        <v>635</v>
      </c>
      <c r="B595" s="27">
        <v>45400</v>
      </c>
      <c r="C595" s="26" t="s">
        <v>21</v>
      </c>
      <c r="D595" s="26" t="s">
        <v>14</v>
      </c>
      <c r="E595" s="26" t="s">
        <v>46</v>
      </c>
      <c r="F595" s="28">
        <v>55923.83</v>
      </c>
      <c r="G595" s="33" t="s">
        <v>34</v>
      </c>
    </row>
    <row r="596" spans="1:7" x14ac:dyDescent="0.3">
      <c r="A596" s="32" t="s">
        <v>636</v>
      </c>
      <c r="B596" s="27">
        <v>45400</v>
      </c>
      <c r="C596" s="26" t="s">
        <v>21</v>
      </c>
      <c r="D596" s="26" t="s">
        <v>15</v>
      </c>
      <c r="E596" s="26" t="s">
        <v>27</v>
      </c>
      <c r="F596" s="28">
        <v>17229.11</v>
      </c>
      <c r="G596" s="33" t="s">
        <v>34</v>
      </c>
    </row>
    <row r="597" spans="1:7" x14ac:dyDescent="0.3">
      <c r="A597" s="32" t="s">
        <v>637</v>
      </c>
      <c r="B597" s="27">
        <v>45400</v>
      </c>
      <c r="C597" s="26" t="s">
        <v>21</v>
      </c>
      <c r="D597" s="26" t="s">
        <v>15</v>
      </c>
      <c r="E597" s="26" t="s">
        <v>31</v>
      </c>
      <c r="F597" s="28">
        <v>4965.8900000000003</v>
      </c>
      <c r="G597" s="33" t="s">
        <v>35</v>
      </c>
    </row>
    <row r="598" spans="1:7" x14ac:dyDescent="0.3">
      <c r="A598" s="32" t="s">
        <v>638</v>
      </c>
      <c r="B598" s="27">
        <v>45400</v>
      </c>
      <c r="C598" s="26" t="s">
        <v>21</v>
      </c>
      <c r="D598" s="26" t="s">
        <v>15</v>
      </c>
      <c r="E598" s="26" t="s">
        <v>28</v>
      </c>
      <c r="F598" s="28">
        <v>18303.18</v>
      </c>
      <c r="G598" s="33" t="s">
        <v>34</v>
      </c>
    </row>
    <row r="599" spans="1:7" x14ac:dyDescent="0.3">
      <c r="A599" s="32" t="s">
        <v>639</v>
      </c>
      <c r="B599" s="27">
        <v>45401</v>
      </c>
      <c r="C599" s="26" t="s">
        <v>21</v>
      </c>
      <c r="D599" s="26" t="s">
        <v>14</v>
      </c>
      <c r="E599" s="26" t="s">
        <v>46</v>
      </c>
      <c r="F599" s="28">
        <v>15930.33</v>
      </c>
      <c r="G599" s="33" t="s">
        <v>36</v>
      </c>
    </row>
    <row r="600" spans="1:7" x14ac:dyDescent="0.3">
      <c r="A600" s="32" t="s">
        <v>640</v>
      </c>
      <c r="B600" s="27">
        <v>45401</v>
      </c>
      <c r="C600" s="26" t="s">
        <v>21</v>
      </c>
      <c r="D600" s="26" t="s">
        <v>14</v>
      </c>
      <c r="E600" s="26" t="s">
        <v>46</v>
      </c>
      <c r="F600" s="28">
        <v>49124.54</v>
      </c>
      <c r="G600" s="33" t="s">
        <v>35</v>
      </c>
    </row>
    <row r="601" spans="1:7" x14ac:dyDescent="0.3">
      <c r="A601" s="32" t="s">
        <v>641</v>
      </c>
      <c r="B601" s="27">
        <v>45401</v>
      </c>
      <c r="C601" s="26" t="s">
        <v>21</v>
      </c>
      <c r="D601" s="26" t="s">
        <v>14</v>
      </c>
      <c r="E601" s="26" t="s">
        <v>46</v>
      </c>
      <c r="F601" s="28">
        <v>55044.53</v>
      </c>
      <c r="G601" s="33" t="s">
        <v>35</v>
      </c>
    </row>
    <row r="602" spans="1:7" x14ac:dyDescent="0.3">
      <c r="A602" s="32" t="s">
        <v>642</v>
      </c>
      <c r="B602" s="27">
        <v>45401</v>
      </c>
      <c r="C602" s="26" t="s">
        <v>21</v>
      </c>
      <c r="D602" s="26" t="s">
        <v>14</v>
      </c>
      <c r="E602" s="26" t="s">
        <v>46</v>
      </c>
      <c r="F602" s="28">
        <v>32993.360000000001</v>
      </c>
      <c r="G602" s="33" t="s">
        <v>34</v>
      </c>
    </row>
    <row r="603" spans="1:7" x14ac:dyDescent="0.3">
      <c r="A603" s="32" t="s">
        <v>643</v>
      </c>
      <c r="B603" s="27">
        <v>45401</v>
      </c>
      <c r="C603" s="26" t="s">
        <v>21</v>
      </c>
      <c r="D603" s="26" t="s">
        <v>14</v>
      </c>
      <c r="E603" s="26" t="s">
        <v>46</v>
      </c>
      <c r="F603" s="28">
        <v>18945.560000000001</v>
      </c>
      <c r="G603" s="33" t="s">
        <v>35</v>
      </c>
    </row>
    <row r="604" spans="1:7" x14ac:dyDescent="0.3">
      <c r="A604" s="32" t="s">
        <v>644</v>
      </c>
      <c r="B604" s="27">
        <v>45401</v>
      </c>
      <c r="C604" s="26" t="s">
        <v>21</v>
      </c>
      <c r="D604" s="26" t="s">
        <v>14</v>
      </c>
      <c r="E604" s="26" t="s">
        <v>46</v>
      </c>
      <c r="F604" s="28">
        <v>59198.16</v>
      </c>
      <c r="G604" s="33" t="s">
        <v>34</v>
      </c>
    </row>
    <row r="605" spans="1:7" x14ac:dyDescent="0.3">
      <c r="A605" s="32" t="s">
        <v>645</v>
      </c>
      <c r="B605" s="27">
        <v>45402</v>
      </c>
      <c r="C605" s="26" t="s">
        <v>21</v>
      </c>
      <c r="D605" s="26" t="s">
        <v>14</v>
      </c>
      <c r="E605" s="26" t="s">
        <v>46</v>
      </c>
      <c r="F605" s="28">
        <v>76297.600000000006</v>
      </c>
      <c r="G605" s="33" t="s">
        <v>34</v>
      </c>
    </row>
    <row r="606" spans="1:7" x14ac:dyDescent="0.3">
      <c r="A606" s="32" t="s">
        <v>646</v>
      </c>
      <c r="B606" s="27">
        <v>45402</v>
      </c>
      <c r="C606" s="26" t="s">
        <v>21</v>
      </c>
      <c r="D606" s="26" t="s">
        <v>14</v>
      </c>
      <c r="E606" s="26" t="s">
        <v>46</v>
      </c>
      <c r="F606" s="28">
        <v>79801.490000000005</v>
      </c>
      <c r="G606" s="33" t="s">
        <v>34</v>
      </c>
    </row>
    <row r="607" spans="1:7" x14ac:dyDescent="0.3">
      <c r="A607" s="32" t="s">
        <v>647</v>
      </c>
      <c r="B607" s="27">
        <v>45402</v>
      </c>
      <c r="C607" s="26" t="s">
        <v>21</v>
      </c>
      <c r="D607" s="26" t="s">
        <v>15</v>
      </c>
      <c r="E607" s="26" t="s">
        <v>27</v>
      </c>
      <c r="F607" s="28">
        <v>22986.3</v>
      </c>
      <c r="G607" s="33" t="s">
        <v>35</v>
      </c>
    </row>
    <row r="608" spans="1:7" x14ac:dyDescent="0.3">
      <c r="A608" s="32" t="s">
        <v>648</v>
      </c>
      <c r="B608" s="27">
        <v>45402</v>
      </c>
      <c r="C608" s="26" t="s">
        <v>21</v>
      </c>
      <c r="D608" s="26" t="s">
        <v>14</v>
      </c>
      <c r="E608" s="26" t="s">
        <v>46</v>
      </c>
      <c r="F608" s="28">
        <v>16541.71</v>
      </c>
      <c r="G608" s="33" t="s">
        <v>34</v>
      </c>
    </row>
    <row r="609" spans="1:7" x14ac:dyDescent="0.3">
      <c r="A609" s="32" t="s">
        <v>649</v>
      </c>
      <c r="B609" s="27">
        <v>45402</v>
      </c>
      <c r="C609" s="26" t="s">
        <v>21</v>
      </c>
      <c r="D609" s="26" t="s">
        <v>15</v>
      </c>
      <c r="E609" s="26" t="s">
        <v>27</v>
      </c>
      <c r="F609" s="28">
        <v>17420.490000000002</v>
      </c>
      <c r="G609" s="33" t="s">
        <v>34</v>
      </c>
    </row>
    <row r="610" spans="1:7" x14ac:dyDescent="0.3">
      <c r="A610" s="32" t="s">
        <v>650</v>
      </c>
      <c r="B610" s="27">
        <v>45403</v>
      </c>
      <c r="C610" s="26" t="s">
        <v>21</v>
      </c>
      <c r="D610" s="26" t="s">
        <v>15</v>
      </c>
      <c r="E610" s="26" t="s">
        <v>27</v>
      </c>
      <c r="F610" s="28">
        <v>13695.24</v>
      </c>
      <c r="G610" s="33" t="s">
        <v>36</v>
      </c>
    </row>
    <row r="611" spans="1:7" x14ac:dyDescent="0.3">
      <c r="A611" s="32" t="s">
        <v>651</v>
      </c>
      <c r="B611" s="27">
        <v>45403</v>
      </c>
      <c r="C611" s="26" t="s">
        <v>21</v>
      </c>
      <c r="D611" s="26" t="s">
        <v>15</v>
      </c>
      <c r="E611" s="26" t="s">
        <v>28</v>
      </c>
      <c r="F611" s="28">
        <v>2419.3000000000002</v>
      </c>
      <c r="G611" s="33" t="s">
        <v>35</v>
      </c>
    </row>
    <row r="612" spans="1:7" x14ac:dyDescent="0.3">
      <c r="A612" s="32" t="s">
        <v>652</v>
      </c>
      <c r="B612" s="27">
        <v>45403</v>
      </c>
      <c r="C612" s="26" t="s">
        <v>21</v>
      </c>
      <c r="D612" s="26" t="s">
        <v>14</v>
      </c>
      <c r="E612" s="26" t="s">
        <v>46</v>
      </c>
      <c r="F612" s="28">
        <v>31620.62</v>
      </c>
      <c r="G612" s="33" t="s">
        <v>34</v>
      </c>
    </row>
    <row r="613" spans="1:7" x14ac:dyDescent="0.3">
      <c r="A613" s="32" t="s">
        <v>653</v>
      </c>
      <c r="B613" s="27">
        <v>45403</v>
      </c>
      <c r="C613" s="26" t="s">
        <v>21</v>
      </c>
      <c r="D613" s="26" t="s">
        <v>15</v>
      </c>
      <c r="E613" s="26" t="s">
        <v>27</v>
      </c>
      <c r="F613" s="28">
        <v>23876.89</v>
      </c>
      <c r="G613" s="33" t="s">
        <v>34</v>
      </c>
    </row>
    <row r="614" spans="1:7" x14ac:dyDescent="0.3">
      <c r="A614" s="32" t="s">
        <v>654</v>
      </c>
      <c r="B614" s="27">
        <v>45403</v>
      </c>
      <c r="C614" s="26" t="s">
        <v>21</v>
      </c>
      <c r="D614" s="26" t="s">
        <v>15</v>
      </c>
      <c r="E614" s="26" t="s">
        <v>30</v>
      </c>
      <c r="F614" s="28">
        <v>9859.84</v>
      </c>
      <c r="G614" s="33" t="s">
        <v>35</v>
      </c>
    </row>
    <row r="615" spans="1:7" x14ac:dyDescent="0.3">
      <c r="A615" s="32" t="s">
        <v>655</v>
      </c>
      <c r="B615" s="27">
        <v>45403</v>
      </c>
      <c r="C615" s="26" t="s">
        <v>21</v>
      </c>
      <c r="D615" s="26" t="s">
        <v>14</v>
      </c>
      <c r="E615" s="26" t="s">
        <v>46</v>
      </c>
      <c r="F615" s="28">
        <v>63630.93</v>
      </c>
      <c r="G615" s="33" t="s">
        <v>34</v>
      </c>
    </row>
    <row r="616" spans="1:7" x14ac:dyDescent="0.3">
      <c r="A616" s="32" t="s">
        <v>656</v>
      </c>
      <c r="B616" s="27">
        <v>45403</v>
      </c>
      <c r="C616" s="26" t="s">
        <v>21</v>
      </c>
      <c r="D616" s="26" t="s">
        <v>15</v>
      </c>
      <c r="E616" s="26" t="s">
        <v>28</v>
      </c>
      <c r="F616" s="28">
        <v>6416.12</v>
      </c>
      <c r="G616" s="33" t="s">
        <v>34</v>
      </c>
    </row>
    <row r="617" spans="1:7" x14ac:dyDescent="0.3">
      <c r="A617" s="32" t="s">
        <v>657</v>
      </c>
      <c r="B617" s="27">
        <v>45404</v>
      </c>
      <c r="C617" s="26" t="s">
        <v>21</v>
      </c>
      <c r="D617" s="26" t="s">
        <v>15</v>
      </c>
      <c r="E617" s="26" t="s">
        <v>27</v>
      </c>
      <c r="F617" s="28">
        <v>24999.46</v>
      </c>
      <c r="G617" s="33" t="s">
        <v>34</v>
      </c>
    </row>
    <row r="618" spans="1:7" x14ac:dyDescent="0.3">
      <c r="A618" s="32" t="s">
        <v>658</v>
      </c>
      <c r="B618" s="27">
        <v>45404</v>
      </c>
      <c r="C618" s="26" t="s">
        <v>21</v>
      </c>
      <c r="D618" s="26" t="s">
        <v>14</v>
      </c>
      <c r="E618" s="26" t="s">
        <v>46</v>
      </c>
      <c r="F618" s="28">
        <v>20846.16</v>
      </c>
      <c r="G618" s="33" t="s">
        <v>36</v>
      </c>
    </row>
    <row r="619" spans="1:7" x14ac:dyDescent="0.3">
      <c r="A619" s="32" t="s">
        <v>659</v>
      </c>
      <c r="B619" s="27">
        <v>45404</v>
      </c>
      <c r="C619" s="26" t="s">
        <v>21</v>
      </c>
      <c r="D619" s="26" t="s">
        <v>14</v>
      </c>
      <c r="E619" s="26" t="s">
        <v>46</v>
      </c>
      <c r="F619" s="28">
        <v>30705.45</v>
      </c>
      <c r="G619" s="33" t="s">
        <v>35</v>
      </c>
    </row>
    <row r="620" spans="1:7" x14ac:dyDescent="0.3">
      <c r="A620" s="32" t="s">
        <v>660</v>
      </c>
      <c r="B620" s="27">
        <v>45404</v>
      </c>
      <c r="C620" s="26" t="s">
        <v>21</v>
      </c>
      <c r="D620" s="26" t="s">
        <v>15</v>
      </c>
      <c r="E620" s="26" t="s">
        <v>29</v>
      </c>
      <c r="F620" s="28">
        <v>20126.759999999998</v>
      </c>
      <c r="G620" s="33" t="s">
        <v>35</v>
      </c>
    </row>
    <row r="621" spans="1:7" x14ac:dyDescent="0.3">
      <c r="A621" s="32" t="s">
        <v>661</v>
      </c>
      <c r="B621" s="27">
        <v>45405</v>
      </c>
      <c r="C621" s="26" t="s">
        <v>21</v>
      </c>
      <c r="D621" s="26" t="s">
        <v>15</v>
      </c>
      <c r="E621" s="26" t="s">
        <v>29</v>
      </c>
      <c r="F621" s="28">
        <v>13676.86</v>
      </c>
      <c r="G621" s="33" t="s">
        <v>35</v>
      </c>
    </row>
    <row r="622" spans="1:7" x14ac:dyDescent="0.3">
      <c r="A622" s="32" t="s">
        <v>662</v>
      </c>
      <c r="B622" s="27">
        <v>45405</v>
      </c>
      <c r="C622" s="26" t="s">
        <v>21</v>
      </c>
      <c r="D622" s="26" t="s">
        <v>14</v>
      </c>
      <c r="E622" s="26" t="s">
        <v>46</v>
      </c>
      <c r="F622" s="28">
        <v>47783.95</v>
      </c>
      <c r="G622" s="33" t="s">
        <v>34</v>
      </c>
    </row>
    <row r="623" spans="1:7" x14ac:dyDescent="0.3">
      <c r="A623" s="32" t="s">
        <v>663</v>
      </c>
      <c r="B623" s="27">
        <v>45405</v>
      </c>
      <c r="C623" s="26" t="s">
        <v>21</v>
      </c>
      <c r="D623" s="26" t="s">
        <v>14</v>
      </c>
      <c r="E623" s="26" t="s">
        <v>46</v>
      </c>
      <c r="F623" s="28">
        <v>61705.08</v>
      </c>
      <c r="G623" s="33" t="s">
        <v>34</v>
      </c>
    </row>
    <row r="624" spans="1:7" x14ac:dyDescent="0.3">
      <c r="A624" s="32" t="s">
        <v>664</v>
      </c>
      <c r="B624" s="27">
        <v>45405</v>
      </c>
      <c r="C624" s="26" t="s">
        <v>21</v>
      </c>
      <c r="D624" s="26" t="s">
        <v>15</v>
      </c>
      <c r="E624" s="26" t="s">
        <v>27</v>
      </c>
      <c r="F624" s="28">
        <v>14110.23</v>
      </c>
      <c r="G624" s="33" t="s">
        <v>34</v>
      </c>
    </row>
    <row r="625" spans="1:7" x14ac:dyDescent="0.3">
      <c r="A625" s="32" t="s">
        <v>665</v>
      </c>
      <c r="B625" s="27">
        <v>45405</v>
      </c>
      <c r="C625" s="26" t="s">
        <v>21</v>
      </c>
      <c r="D625" s="26" t="s">
        <v>15</v>
      </c>
      <c r="E625" s="26" t="s">
        <v>27</v>
      </c>
      <c r="F625" s="28">
        <v>17224.37</v>
      </c>
      <c r="G625" s="33" t="s">
        <v>34</v>
      </c>
    </row>
    <row r="626" spans="1:7" x14ac:dyDescent="0.3">
      <c r="A626" s="32" t="s">
        <v>666</v>
      </c>
      <c r="B626" s="27">
        <v>45405</v>
      </c>
      <c r="C626" s="26" t="s">
        <v>21</v>
      </c>
      <c r="D626" s="26" t="s">
        <v>15</v>
      </c>
      <c r="E626" s="26" t="s">
        <v>27</v>
      </c>
      <c r="F626" s="28">
        <v>22157.03</v>
      </c>
      <c r="G626" s="33" t="s">
        <v>34</v>
      </c>
    </row>
    <row r="627" spans="1:7" x14ac:dyDescent="0.3">
      <c r="A627" s="32" t="s">
        <v>667</v>
      </c>
      <c r="B627" s="27">
        <v>45406</v>
      </c>
      <c r="C627" s="26" t="s">
        <v>21</v>
      </c>
      <c r="D627" s="26" t="s">
        <v>15</v>
      </c>
      <c r="E627" s="26" t="s">
        <v>29</v>
      </c>
      <c r="F627" s="28">
        <v>16214.72</v>
      </c>
      <c r="G627" s="33" t="s">
        <v>35</v>
      </c>
    </row>
    <row r="628" spans="1:7" x14ac:dyDescent="0.3">
      <c r="A628" s="32" t="s">
        <v>668</v>
      </c>
      <c r="B628" s="27">
        <v>45406</v>
      </c>
      <c r="C628" s="26" t="s">
        <v>21</v>
      </c>
      <c r="D628" s="26" t="s">
        <v>15</v>
      </c>
      <c r="E628" s="26" t="s">
        <v>29</v>
      </c>
      <c r="F628" s="28">
        <v>15736.67</v>
      </c>
      <c r="G628" s="33" t="s">
        <v>34</v>
      </c>
    </row>
    <row r="629" spans="1:7" x14ac:dyDescent="0.3">
      <c r="A629" s="32" t="s">
        <v>669</v>
      </c>
      <c r="B629" s="27">
        <v>45406</v>
      </c>
      <c r="C629" s="26" t="s">
        <v>21</v>
      </c>
      <c r="D629" s="26" t="s">
        <v>15</v>
      </c>
      <c r="E629" s="26" t="s">
        <v>28</v>
      </c>
      <c r="F629" s="28">
        <v>5547.81</v>
      </c>
      <c r="G629" s="33" t="s">
        <v>35</v>
      </c>
    </row>
    <row r="630" spans="1:7" x14ac:dyDescent="0.3">
      <c r="A630" s="32" t="s">
        <v>670</v>
      </c>
      <c r="B630" s="27">
        <v>45406</v>
      </c>
      <c r="C630" s="26" t="s">
        <v>21</v>
      </c>
      <c r="D630" s="26" t="s">
        <v>14</v>
      </c>
      <c r="E630" s="26" t="s">
        <v>46</v>
      </c>
      <c r="F630" s="28">
        <v>22659.22</v>
      </c>
      <c r="G630" s="33" t="s">
        <v>34</v>
      </c>
    </row>
    <row r="631" spans="1:7" x14ac:dyDescent="0.3">
      <c r="A631" s="32" t="s">
        <v>671</v>
      </c>
      <c r="B631" s="27">
        <v>45407</v>
      </c>
      <c r="C631" s="26" t="s">
        <v>21</v>
      </c>
      <c r="D631" s="26" t="s">
        <v>14</v>
      </c>
      <c r="E631" s="26" t="s">
        <v>46</v>
      </c>
      <c r="F631" s="28">
        <v>58499.19</v>
      </c>
      <c r="G631" s="33" t="s">
        <v>34</v>
      </c>
    </row>
    <row r="632" spans="1:7" x14ac:dyDescent="0.3">
      <c r="A632" s="32" t="s">
        <v>672</v>
      </c>
      <c r="B632" s="27">
        <v>45407</v>
      </c>
      <c r="C632" s="26" t="s">
        <v>21</v>
      </c>
      <c r="D632" s="26" t="s">
        <v>15</v>
      </c>
      <c r="E632" s="26" t="s">
        <v>30</v>
      </c>
      <c r="F632" s="28">
        <v>16369.03</v>
      </c>
      <c r="G632" s="33" t="s">
        <v>34</v>
      </c>
    </row>
    <row r="633" spans="1:7" x14ac:dyDescent="0.3">
      <c r="A633" s="32" t="s">
        <v>673</v>
      </c>
      <c r="B633" s="27">
        <v>45407</v>
      </c>
      <c r="C633" s="26" t="s">
        <v>21</v>
      </c>
      <c r="D633" s="26" t="s">
        <v>15</v>
      </c>
      <c r="E633" s="26" t="s">
        <v>30</v>
      </c>
      <c r="F633" s="28">
        <v>22761.09</v>
      </c>
      <c r="G633" s="33" t="s">
        <v>34</v>
      </c>
    </row>
    <row r="634" spans="1:7" x14ac:dyDescent="0.3">
      <c r="A634" s="32" t="s">
        <v>674</v>
      </c>
      <c r="B634" s="27">
        <v>45407</v>
      </c>
      <c r="C634" s="26" t="s">
        <v>21</v>
      </c>
      <c r="D634" s="26" t="s">
        <v>15</v>
      </c>
      <c r="E634" s="26" t="s">
        <v>28</v>
      </c>
      <c r="F634" s="28">
        <v>18587.21</v>
      </c>
      <c r="G634" s="33" t="s">
        <v>35</v>
      </c>
    </row>
    <row r="635" spans="1:7" x14ac:dyDescent="0.3">
      <c r="A635" s="32" t="s">
        <v>675</v>
      </c>
      <c r="B635" s="27">
        <v>45407</v>
      </c>
      <c r="C635" s="26" t="s">
        <v>21</v>
      </c>
      <c r="D635" s="26" t="s">
        <v>15</v>
      </c>
      <c r="E635" s="26" t="s">
        <v>31</v>
      </c>
      <c r="F635" s="28">
        <v>3004.93</v>
      </c>
      <c r="G635" s="33" t="s">
        <v>34</v>
      </c>
    </row>
    <row r="636" spans="1:7" x14ac:dyDescent="0.3">
      <c r="A636" s="32" t="s">
        <v>676</v>
      </c>
      <c r="B636" s="27">
        <v>45408</v>
      </c>
      <c r="C636" s="26" t="s">
        <v>21</v>
      </c>
      <c r="D636" s="26" t="s">
        <v>14</v>
      </c>
      <c r="E636" s="26" t="s">
        <v>46</v>
      </c>
      <c r="F636" s="28">
        <v>35500.959999999999</v>
      </c>
      <c r="G636" s="33" t="s">
        <v>34</v>
      </c>
    </row>
    <row r="637" spans="1:7" x14ac:dyDescent="0.3">
      <c r="A637" s="32" t="s">
        <v>677</v>
      </c>
      <c r="B637" s="27">
        <v>45408</v>
      </c>
      <c r="C637" s="26" t="s">
        <v>21</v>
      </c>
      <c r="D637" s="26" t="s">
        <v>15</v>
      </c>
      <c r="E637" s="26" t="s">
        <v>27</v>
      </c>
      <c r="F637" s="28">
        <v>18550.47</v>
      </c>
      <c r="G637" s="33" t="s">
        <v>34</v>
      </c>
    </row>
    <row r="638" spans="1:7" x14ac:dyDescent="0.3">
      <c r="A638" s="32" t="s">
        <v>678</v>
      </c>
      <c r="B638" s="27">
        <v>45408</v>
      </c>
      <c r="C638" s="26" t="s">
        <v>21</v>
      </c>
      <c r="D638" s="26" t="s">
        <v>15</v>
      </c>
      <c r="E638" s="26" t="s">
        <v>27</v>
      </c>
      <c r="F638" s="28">
        <v>24300.54</v>
      </c>
      <c r="G638" s="33" t="s">
        <v>34</v>
      </c>
    </row>
    <row r="639" spans="1:7" x14ac:dyDescent="0.3">
      <c r="A639" s="32" t="s">
        <v>679</v>
      </c>
      <c r="B639" s="27">
        <v>45408</v>
      </c>
      <c r="C639" s="26" t="s">
        <v>21</v>
      </c>
      <c r="D639" s="26" t="s">
        <v>14</v>
      </c>
      <c r="E639" s="26" t="s">
        <v>46</v>
      </c>
      <c r="F639" s="28">
        <v>52741.68</v>
      </c>
      <c r="G639" s="33" t="s">
        <v>34</v>
      </c>
    </row>
    <row r="640" spans="1:7" x14ac:dyDescent="0.3">
      <c r="A640" s="32" t="s">
        <v>680</v>
      </c>
      <c r="B640" s="27">
        <v>45408</v>
      </c>
      <c r="C640" s="26" t="s">
        <v>21</v>
      </c>
      <c r="D640" s="26" t="s">
        <v>14</v>
      </c>
      <c r="E640" s="26" t="s">
        <v>46</v>
      </c>
      <c r="F640" s="28">
        <v>62667.38</v>
      </c>
      <c r="G640" s="33" t="s">
        <v>35</v>
      </c>
    </row>
    <row r="641" spans="1:7" x14ac:dyDescent="0.3">
      <c r="A641" s="32" t="s">
        <v>681</v>
      </c>
      <c r="B641" s="27">
        <v>45408</v>
      </c>
      <c r="C641" s="26" t="s">
        <v>21</v>
      </c>
      <c r="D641" s="26" t="s">
        <v>15</v>
      </c>
      <c r="E641" s="26" t="s">
        <v>27</v>
      </c>
      <c r="F641" s="28">
        <v>20027.41</v>
      </c>
      <c r="G641" s="33" t="s">
        <v>36</v>
      </c>
    </row>
    <row r="642" spans="1:7" x14ac:dyDescent="0.3">
      <c r="A642" s="32" t="s">
        <v>682</v>
      </c>
      <c r="B642" s="27">
        <v>45408</v>
      </c>
      <c r="C642" s="26" t="s">
        <v>21</v>
      </c>
      <c r="D642" s="26" t="s">
        <v>14</v>
      </c>
      <c r="E642" s="26" t="s">
        <v>46</v>
      </c>
      <c r="F642" s="28">
        <v>26380.21</v>
      </c>
      <c r="G642" s="33" t="s">
        <v>34</v>
      </c>
    </row>
    <row r="643" spans="1:7" x14ac:dyDescent="0.3">
      <c r="A643" s="32" t="s">
        <v>683</v>
      </c>
      <c r="B643" s="27">
        <v>45408</v>
      </c>
      <c r="C643" s="26" t="s">
        <v>21</v>
      </c>
      <c r="D643" s="26" t="s">
        <v>14</v>
      </c>
      <c r="E643" s="26" t="s">
        <v>46</v>
      </c>
      <c r="F643" s="28">
        <v>26741.79</v>
      </c>
      <c r="G643" s="33" t="s">
        <v>35</v>
      </c>
    </row>
    <row r="644" spans="1:7" x14ac:dyDescent="0.3">
      <c r="A644" s="32" t="s">
        <v>684</v>
      </c>
      <c r="B644" s="27">
        <v>45409</v>
      </c>
      <c r="C644" s="26" t="s">
        <v>21</v>
      </c>
      <c r="D644" s="26" t="s">
        <v>14</v>
      </c>
      <c r="E644" s="26" t="s">
        <v>46</v>
      </c>
      <c r="F644" s="28">
        <v>77591.759999999995</v>
      </c>
      <c r="G644" s="33" t="s">
        <v>34</v>
      </c>
    </row>
    <row r="645" spans="1:7" x14ac:dyDescent="0.3">
      <c r="A645" s="32" t="s">
        <v>685</v>
      </c>
      <c r="B645" s="27">
        <v>45409</v>
      </c>
      <c r="C645" s="26" t="s">
        <v>21</v>
      </c>
      <c r="D645" s="26" t="s">
        <v>14</v>
      </c>
      <c r="E645" s="26" t="s">
        <v>46</v>
      </c>
      <c r="F645" s="28">
        <v>64905.919999999998</v>
      </c>
      <c r="G645" s="33" t="s">
        <v>34</v>
      </c>
    </row>
    <row r="646" spans="1:7" x14ac:dyDescent="0.3">
      <c r="A646" s="32" t="s">
        <v>686</v>
      </c>
      <c r="B646" s="27">
        <v>45409</v>
      </c>
      <c r="C646" s="26" t="s">
        <v>21</v>
      </c>
      <c r="D646" s="26" t="s">
        <v>14</v>
      </c>
      <c r="E646" s="26" t="s">
        <v>46</v>
      </c>
      <c r="F646" s="28">
        <v>73278.2</v>
      </c>
      <c r="G646" s="33" t="s">
        <v>34</v>
      </c>
    </row>
    <row r="647" spans="1:7" x14ac:dyDescent="0.3">
      <c r="A647" s="32" t="s">
        <v>687</v>
      </c>
      <c r="B647" s="27">
        <v>45409</v>
      </c>
      <c r="C647" s="26" t="s">
        <v>21</v>
      </c>
      <c r="D647" s="26" t="s">
        <v>15</v>
      </c>
      <c r="E647" s="26" t="s">
        <v>27</v>
      </c>
      <c r="F647" s="28">
        <v>6462.37</v>
      </c>
      <c r="G647" s="33" t="s">
        <v>34</v>
      </c>
    </row>
    <row r="648" spans="1:7" x14ac:dyDescent="0.3">
      <c r="A648" s="32" t="s">
        <v>688</v>
      </c>
      <c r="B648" s="27">
        <v>45409</v>
      </c>
      <c r="C648" s="26" t="s">
        <v>21</v>
      </c>
      <c r="D648" s="26" t="s">
        <v>15</v>
      </c>
      <c r="E648" s="26" t="s">
        <v>28</v>
      </c>
      <c r="F648" s="28">
        <v>17601.060000000001</v>
      </c>
      <c r="G648" s="33" t="s">
        <v>34</v>
      </c>
    </row>
    <row r="649" spans="1:7" x14ac:dyDescent="0.3">
      <c r="A649" s="32" t="s">
        <v>689</v>
      </c>
      <c r="B649" s="27">
        <v>45409</v>
      </c>
      <c r="C649" s="26" t="s">
        <v>21</v>
      </c>
      <c r="D649" s="26" t="s">
        <v>15</v>
      </c>
      <c r="E649" s="26" t="s">
        <v>31</v>
      </c>
      <c r="F649" s="28">
        <v>15119.65</v>
      </c>
      <c r="G649" s="33" t="s">
        <v>34</v>
      </c>
    </row>
    <row r="650" spans="1:7" x14ac:dyDescent="0.3">
      <c r="A650" s="32" t="s">
        <v>690</v>
      </c>
      <c r="B650" s="27">
        <v>45410</v>
      </c>
      <c r="C650" s="26" t="s">
        <v>21</v>
      </c>
      <c r="D650" s="26" t="s">
        <v>15</v>
      </c>
      <c r="E650" s="26" t="s">
        <v>27</v>
      </c>
      <c r="F650" s="28">
        <v>12133.74</v>
      </c>
      <c r="G650" s="33" t="s">
        <v>34</v>
      </c>
    </row>
    <row r="651" spans="1:7" x14ac:dyDescent="0.3">
      <c r="A651" s="32" t="s">
        <v>691</v>
      </c>
      <c r="B651" s="27">
        <v>45410</v>
      </c>
      <c r="C651" s="26" t="s">
        <v>21</v>
      </c>
      <c r="D651" s="26" t="s">
        <v>15</v>
      </c>
      <c r="E651" s="26" t="s">
        <v>27</v>
      </c>
      <c r="F651" s="28">
        <v>19697.09</v>
      </c>
      <c r="G651" s="33" t="s">
        <v>34</v>
      </c>
    </row>
    <row r="652" spans="1:7" x14ac:dyDescent="0.3">
      <c r="A652" s="32" t="s">
        <v>692</v>
      </c>
      <c r="B652" s="27">
        <v>45410</v>
      </c>
      <c r="C652" s="26" t="s">
        <v>21</v>
      </c>
      <c r="D652" s="26" t="s">
        <v>14</v>
      </c>
      <c r="E652" s="26" t="s">
        <v>46</v>
      </c>
      <c r="F652" s="28">
        <v>64468.68</v>
      </c>
      <c r="G652" s="33" t="s">
        <v>34</v>
      </c>
    </row>
    <row r="653" spans="1:7" x14ac:dyDescent="0.3">
      <c r="A653" s="32" t="s">
        <v>693</v>
      </c>
      <c r="B653" s="27">
        <v>45410</v>
      </c>
      <c r="C653" s="26" t="s">
        <v>21</v>
      </c>
      <c r="D653" s="26" t="s">
        <v>15</v>
      </c>
      <c r="E653" s="26" t="s">
        <v>28</v>
      </c>
      <c r="F653" s="28">
        <v>13566.85</v>
      </c>
      <c r="G653" s="33" t="s">
        <v>36</v>
      </c>
    </row>
    <row r="654" spans="1:7" x14ac:dyDescent="0.3">
      <c r="A654" s="32" t="s">
        <v>694</v>
      </c>
      <c r="B654" s="27">
        <v>45410</v>
      </c>
      <c r="C654" s="26" t="s">
        <v>21</v>
      </c>
      <c r="D654" s="26" t="s">
        <v>15</v>
      </c>
      <c r="E654" s="26" t="s">
        <v>31</v>
      </c>
      <c r="F654" s="28">
        <v>11629.2</v>
      </c>
      <c r="G654" s="33" t="s">
        <v>34</v>
      </c>
    </row>
    <row r="655" spans="1:7" x14ac:dyDescent="0.3">
      <c r="A655" s="32" t="s">
        <v>695</v>
      </c>
      <c r="B655" s="27">
        <v>45410</v>
      </c>
      <c r="C655" s="26" t="s">
        <v>21</v>
      </c>
      <c r="D655" s="26" t="s">
        <v>15</v>
      </c>
      <c r="E655" s="26" t="s">
        <v>27</v>
      </c>
      <c r="F655" s="28">
        <v>5727.34</v>
      </c>
      <c r="G655" s="33" t="s">
        <v>34</v>
      </c>
    </row>
    <row r="656" spans="1:7" x14ac:dyDescent="0.3">
      <c r="A656" s="32" t="s">
        <v>696</v>
      </c>
      <c r="B656" s="27">
        <v>45411</v>
      </c>
      <c r="C656" s="26" t="s">
        <v>21</v>
      </c>
      <c r="D656" s="26" t="s">
        <v>15</v>
      </c>
      <c r="E656" s="26" t="s">
        <v>28</v>
      </c>
      <c r="F656" s="28">
        <v>6593.05</v>
      </c>
      <c r="G656" s="33" t="s">
        <v>34</v>
      </c>
    </row>
    <row r="657" spans="1:7" x14ac:dyDescent="0.3">
      <c r="A657" s="32" t="s">
        <v>697</v>
      </c>
      <c r="B657" s="27">
        <v>45411</v>
      </c>
      <c r="C657" s="26" t="s">
        <v>21</v>
      </c>
      <c r="D657" s="26" t="s">
        <v>14</v>
      </c>
      <c r="E657" s="26" t="s">
        <v>46</v>
      </c>
      <c r="F657" s="28">
        <v>52326.44</v>
      </c>
      <c r="G657" s="33" t="s">
        <v>34</v>
      </c>
    </row>
    <row r="658" spans="1:7" x14ac:dyDescent="0.3">
      <c r="A658" s="32" t="s">
        <v>698</v>
      </c>
      <c r="B658" s="27">
        <v>45411</v>
      </c>
      <c r="C658" s="26" t="s">
        <v>21</v>
      </c>
      <c r="D658" s="26" t="s">
        <v>14</v>
      </c>
      <c r="E658" s="26" t="s">
        <v>46</v>
      </c>
      <c r="F658" s="28">
        <v>71110.13</v>
      </c>
      <c r="G658" s="33" t="s">
        <v>34</v>
      </c>
    </row>
    <row r="659" spans="1:7" x14ac:dyDescent="0.3">
      <c r="A659" s="32" t="s">
        <v>699</v>
      </c>
      <c r="B659" s="27">
        <v>45411</v>
      </c>
      <c r="C659" s="26" t="s">
        <v>21</v>
      </c>
      <c r="D659" s="26" t="s">
        <v>15</v>
      </c>
      <c r="E659" s="26" t="s">
        <v>27</v>
      </c>
      <c r="F659" s="28">
        <v>3200.14</v>
      </c>
      <c r="G659" s="33" t="s">
        <v>34</v>
      </c>
    </row>
    <row r="660" spans="1:7" x14ac:dyDescent="0.3">
      <c r="A660" s="32" t="s">
        <v>700</v>
      </c>
      <c r="B660" s="27">
        <v>45411</v>
      </c>
      <c r="C660" s="26" t="s">
        <v>21</v>
      </c>
      <c r="D660" s="26" t="s">
        <v>15</v>
      </c>
      <c r="E660" s="26" t="s">
        <v>27</v>
      </c>
      <c r="F660" s="28">
        <v>13053.59</v>
      </c>
      <c r="G660" s="33" t="s">
        <v>34</v>
      </c>
    </row>
    <row r="661" spans="1:7" x14ac:dyDescent="0.3">
      <c r="A661" s="32" t="s">
        <v>701</v>
      </c>
      <c r="B661" s="27">
        <v>45411</v>
      </c>
      <c r="C661" s="26" t="s">
        <v>21</v>
      </c>
      <c r="D661" s="26" t="s">
        <v>15</v>
      </c>
      <c r="E661" s="26" t="s">
        <v>31</v>
      </c>
      <c r="F661" s="28">
        <v>10537.88</v>
      </c>
      <c r="G661" s="33" t="s">
        <v>34</v>
      </c>
    </row>
    <row r="662" spans="1:7" x14ac:dyDescent="0.3">
      <c r="A662" s="32" t="s">
        <v>702</v>
      </c>
      <c r="B662" s="27">
        <v>45411</v>
      </c>
      <c r="C662" s="26" t="s">
        <v>21</v>
      </c>
      <c r="D662" s="26" t="s">
        <v>15</v>
      </c>
      <c r="E662" s="26" t="s">
        <v>31</v>
      </c>
      <c r="F662" s="28">
        <v>23488.75</v>
      </c>
      <c r="G662" s="33" t="s">
        <v>34</v>
      </c>
    </row>
    <row r="663" spans="1:7" x14ac:dyDescent="0.3">
      <c r="A663" s="32" t="s">
        <v>703</v>
      </c>
      <c r="B663" s="27">
        <v>45412</v>
      </c>
      <c r="C663" s="26" t="s">
        <v>21</v>
      </c>
      <c r="D663" s="26" t="s">
        <v>15</v>
      </c>
      <c r="E663" s="26" t="s">
        <v>27</v>
      </c>
      <c r="F663" s="28">
        <v>18362.22</v>
      </c>
      <c r="G663" s="33" t="s">
        <v>34</v>
      </c>
    </row>
    <row r="664" spans="1:7" x14ac:dyDescent="0.3">
      <c r="A664" s="32" t="s">
        <v>704</v>
      </c>
      <c r="B664" s="27">
        <v>45412</v>
      </c>
      <c r="C664" s="26" t="s">
        <v>21</v>
      </c>
      <c r="D664" s="26" t="s">
        <v>15</v>
      </c>
      <c r="E664" s="26" t="s">
        <v>31</v>
      </c>
      <c r="F664" s="28">
        <v>13865.92</v>
      </c>
      <c r="G664" s="33" t="s">
        <v>34</v>
      </c>
    </row>
    <row r="665" spans="1:7" x14ac:dyDescent="0.3">
      <c r="A665" s="32" t="s">
        <v>705</v>
      </c>
      <c r="B665" s="27">
        <v>45412</v>
      </c>
      <c r="C665" s="26" t="s">
        <v>21</v>
      </c>
      <c r="D665" s="26" t="s">
        <v>14</v>
      </c>
      <c r="E665" s="26" t="s">
        <v>46</v>
      </c>
      <c r="F665" s="28">
        <v>18727.439999999999</v>
      </c>
      <c r="G665" s="33" t="s">
        <v>34</v>
      </c>
    </row>
    <row r="666" spans="1:7" x14ac:dyDescent="0.3">
      <c r="A666" s="32" t="s">
        <v>706</v>
      </c>
      <c r="B666" s="27">
        <v>45412</v>
      </c>
      <c r="C666" s="26" t="s">
        <v>21</v>
      </c>
      <c r="D666" s="26" t="s">
        <v>14</v>
      </c>
      <c r="E666" s="26" t="s">
        <v>46</v>
      </c>
      <c r="F666" s="28">
        <v>15871.26</v>
      </c>
      <c r="G666" s="33" t="s">
        <v>34</v>
      </c>
    </row>
    <row r="667" spans="1:7" x14ac:dyDescent="0.3">
      <c r="A667" s="32" t="s">
        <v>707</v>
      </c>
      <c r="B667" s="27">
        <v>45413</v>
      </c>
      <c r="C667" s="26" t="s">
        <v>22</v>
      </c>
      <c r="D667" s="26" t="s">
        <v>14</v>
      </c>
      <c r="E667" s="26" t="s">
        <v>46</v>
      </c>
      <c r="F667" s="28">
        <v>21221.86</v>
      </c>
      <c r="G667" s="33" t="s">
        <v>35</v>
      </c>
    </row>
    <row r="668" spans="1:7" x14ac:dyDescent="0.3">
      <c r="A668" s="32" t="s">
        <v>708</v>
      </c>
      <c r="B668" s="27">
        <v>45413</v>
      </c>
      <c r="C668" s="26" t="s">
        <v>22</v>
      </c>
      <c r="D668" s="26" t="s">
        <v>14</v>
      </c>
      <c r="E668" s="26" t="s">
        <v>46</v>
      </c>
      <c r="F668" s="28">
        <v>41452.35</v>
      </c>
      <c r="G668" s="33" t="s">
        <v>34</v>
      </c>
    </row>
    <row r="669" spans="1:7" x14ac:dyDescent="0.3">
      <c r="A669" s="32" t="s">
        <v>709</v>
      </c>
      <c r="B669" s="27">
        <v>45413</v>
      </c>
      <c r="C669" s="26" t="s">
        <v>22</v>
      </c>
      <c r="D669" s="26" t="s">
        <v>14</v>
      </c>
      <c r="E669" s="26" t="s">
        <v>46</v>
      </c>
      <c r="F669" s="28">
        <v>45934.69</v>
      </c>
      <c r="G669" s="33" t="s">
        <v>34</v>
      </c>
    </row>
    <row r="670" spans="1:7" x14ac:dyDescent="0.3">
      <c r="A670" s="32" t="s">
        <v>710</v>
      </c>
      <c r="B670" s="27">
        <v>45413</v>
      </c>
      <c r="C670" s="26" t="s">
        <v>22</v>
      </c>
      <c r="D670" s="26" t="s">
        <v>14</v>
      </c>
      <c r="E670" s="26" t="s">
        <v>46</v>
      </c>
      <c r="F670" s="28">
        <v>68173.27</v>
      </c>
      <c r="G670" s="33" t="s">
        <v>34</v>
      </c>
    </row>
    <row r="671" spans="1:7" x14ac:dyDescent="0.3">
      <c r="A671" s="32" t="s">
        <v>711</v>
      </c>
      <c r="B671" s="27">
        <v>45413</v>
      </c>
      <c r="C671" s="26" t="s">
        <v>22</v>
      </c>
      <c r="D671" s="26" t="s">
        <v>14</v>
      </c>
      <c r="E671" s="26" t="s">
        <v>46</v>
      </c>
      <c r="F671" s="28">
        <v>16419.95</v>
      </c>
      <c r="G671" s="33" t="s">
        <v>36</v>
      </c>
    </row>
    <row r="672" spans="1:7" x14ac:dyDescent="0.3">
      <c r="A672" s="32" t="s">
        <v>712</v>
      </c>
      <c r="B672" s="27">
        <v>45413</v>
      </c>
      <c r="C672" s="26" t="s">
        <v>22</v>
      </c>
      <c r="D672" s="26" t="s">
        <v>14</v>
      </c>
      <c r="E672" s="26" t="s">
        <v>46</v>
      </c>
      <c r="F672" s="28">
        <v>73735.350000000006</v>
      </c>
      <c r="G672" s="33" t="s">
        <v>34</v>
      </c>
    </row>
    <row r="673" spans="1:7" x14ac:dyDescent="0.3">
      <c r="A673" s="32" t="s">
        <v>713</v>
      </c>
      <c r="B673" s="27">
        <v>45413</v>
      </c>
      <c r="C673" s="26" t="s">
        <v>22</v>
      </c>
      <c r="D673" s="26" t="s">
        <v>15</v>
      </c>
      <c r="E673" s="26" t="s">
        <v>29</v>
      </c>
      <c r="F673" s="28">
        <v>20784.169999999998</v>
      </c>
      <c r="G673" s="33" t="s">
        <v>34</v>
      </c>
    </row>
    <row r="674" spans="1:7" x14ac:dyDescent="0.3">
      <c r="A674" s="32" t="s">
        <v>714</v>
      </c>
      <c r="B674" s="27">
        <v>45413</v>
      </c>
      <c r="C674" s="26" t="s">
        <v>22</v>
      </c>
      <c r="D674" s="26" t="s">
        <v>14</v>
      </c>
      <c r="E674" s="26" t="s">
        <v>46</v>
      </c>
      <c r="F674" s="28">
        <v>71924.08</v>
      </c>
      <c r="G674" s="33" t="s">
        <v>34</v>
      </c>
    </row>
    <row r="675" spans="1:7" x14ac:dyDescent="0.3">
      <c r="A675" s="32" t="s">
        <v>715</v>
      </c>
      <c r="B675" s="27">
        <v>45413</v>
      </c>
      <c r="C675" s="26" t="s">
        <v>22</v>
      </c>
      <c r="D675" s="26" t="s">
        <v>15</v>
      </c>
      <c r="E675" s="26" t="s">
        <v>31</v>
      </c>
      <c r="F675" s="28">
        <v>23400.85</v>
      </c>
      <c r="G675" s="33" t="s">
        <v>34</v>
      </c>
    </row>
    <row r="676" spans="1:7" x14ac:dyDescent="0.3">
      <c r="A676" s="32" t="s">
        <v>716</v>
      </c>
      <c r="B676" s="27">
        <v>45414</v>
      </c>
      <c r="C676" s="26" t="s">
        <v>22</v>
      </c>
      <c r="D676" s="26" t="s">
        <v>15</v>
      </c>
      <c r="E676" s="26" t="s">
        <v>28</v>
      </c>
      <c r="F676" s="28">
        <v>11542.63</v>
      </c>
      <c r="G676" s="33" t="s">
        <v>34</v>
      </c>
    </row>
    <row r="677" spans="1:7" x14ac:dyDescent="0.3">
      <c r="A677" s="32" t="s">
        <v>717</v>
      </c>
      <c r="B677" s="27">
        <v>45414</v>
      </c>
      <c r="C677" s="26" t="s">
        <v>22</v>
      </c>
      <c r="D677" s="26" t="s">
        <v>15</v>
      </c>
      <c r="E677" s="26" t="s">
        <v>28</v>
      </c>
      <c r="F677" s="28">
        <v>11118.44</v>
      </c>
      <c r="G677" s="33" t="s">
        <v>34</v>
      </c>
    </row>
    <row r="678" spans="1:7" x14ac:dyDescent="0.3">
      <c r="A678" s="32" t="s">
        <v>718</v>
      </c>
      <c r="B678" s="27">
        <v>45414</v>
      </c>
      <c r="C678" s="26" t="s">
        <v>22</v>
      </c>
      <c r="D678" s="26" t="s">
        <v>14</v>
      </c>
      <c r="E678" s="26" t="s">
        <v>46</v>
      </c>
      <c r="F678" s="28">
        <v>36177.300000000003</v>
      </c>
      <c r="G678" s="33" t="s">
        <v>35</v>
      </c>
    </row>
    <row r="679" spans="1:7" x14ac:dyDescent="0.3">
      <c r="A679" s="32" t="s">
        <v>719</v>
      </c>
      <c r="B679" s="27">
        <v>45414</v>
      </c>
      <c r="C679" s="26" t="s">
        <v>22</v>
      </c>
      <c r="D679" s="26" t="s">
        <v>15</v>
      </c>
      <c r="E679" s="26" t="s">
        <v>28</v>
      </c>
      <c r="F679" s="28">
        <v>10881.82</v>
      </c>
      <c r="G679" s="33" t="s">
        <v>34</v>
      </c>
    </row>
    <row r="680" spans="1:7" x14ac:dyDescent="0.3">
      <c r="A680" s="32" t="s">
        <v>720</v>
      </c>
      <c r="B680" s="27">
        <v>45415</v>
      </c>
      <c r="C680" s="26" t="s">
        <v>22</v>
      </c>
      <c r="D680" s="26" t="s">
        <v>15</v>
      </c>
      <c r="E680" s="26" t="s">
        <v>29</v>
      </c>
      <c r="F680" s="28">
        <v>3876.93</v>
      </c>
      <c r="G680" s="33" t="s">
        <v>35</v>
      </c>
    </row>
    <row r="681" spans="1:7" x14ac:dyDescent="0.3">
      <c r="A681" s="32" t="s">
        <v>721</v>
      </c>
      <c r="B681" s="27">
        <v>45415</v>
      </c>
      <c r="C681" s="26" t="s">
        <v>22</v>
      </c>
      <c r="D681" s="26" t="s">
        <v>15</v>
      </c>
      <c r="E681" s="26" t="s">
        <v>27</v>
      </c>
      <c r="F681" s="28">
        <v>7164.39</v>
      </c>
      <c r="G681" s="33" t="s">
        <v>36</v>
      </c>
    </row>
    <row r="682" spans="1:7" x14ac:dyDescent="0.3">
      <c r="A682" s="32" t="s">
        <v>722</v>
      </c>
      <c r="B682" s="27">
        <v>45415</v>
      </c>
      <c r="C682" s="26" t="s">
        <v>22</v>
      </c>
      <c r="D682" s="26" t="s">
        <v>15</v>
      </c>
      <c r="E682" s="26" t="s">
        <v>27</v>
      </c>
      <c r="F682" s="28">
        <v>9329.75</v>
      </c>
      <c r="G682" s="33" t="s">
        <v>34</v>
      </c>
    </row>
    <row r="683" spans="1:7" x14ac:dyDescent="0.3">
      <c r="A683" s="32" t="s">
        <v>723</v>
      </c>
      <c r="B683" s="27">
        <v>45416</v>
      </c>
      <c r="C683" s="26" t="s">
        <v>22</v>
      </c>
      <c r="D683" s="26" t="s">
        <v>14</v>
      </c>
      <c r="E683" s="26" t="s">
        <v>46</v>
      </c>
      <c r="F683" s="28">
        <v>16935.82</v>
      </c>
      <c r="G683" s="33" t="s">
        <v>34</v>
      </c>
    </row>
    <row r="684" spans="1:7" x14ac:dyDescent="0.3">
      <c r="A684" s="32" t="s">
        <v>724</v>
      </c>
      <c r="B684" s="27">
        <v>45416</v>
      </c>
      <c r="C684" s="26" t="s">
        <v>22</v>
      </c>
      <c r="D684" s="26" t="s">
        <v>14</v>
      </c>
      <c r="E684" s="26" t="s">
        <v>46</v>
      </c>
      <c r="F684" s="28">
        <v>60029.3</v>
      </c>
      <c r="G684" s="33" t="s">
        <v>34</v>
      </c>
    </row>
    <row r="685" spans="1:7" x14ac:dyDescent="0.3">
      <c r="A685" s="32" t="s">
        <v>725</v>
      </c>
      <c r="B685" s="27">
        <v>45416</v>
      </c>
      <c r="C685" s="26" t="s">
        <v>22</v>
      </c>
      <c r="D685" s="26" t="s">
        <v>15</v>
      </c>
      <c r="E685" s="26" t="s">
        <v>27</v>
      </c>
      <c r="F685" s="28">
        <v>9711.68</v>
      </c>
      <c r="G685" s="33" t="s">
        <v>34</v>
      </c>
    </row>
    <row r="686" spans="1:7" x14ac:dyDescent="0.3">
      <c r="A686" s="32" t="s">
        <v>726</v>
      </c>
      <c r="B686" s="27">
        <v>45416</v>
      </c>
      <c r="C686" s="26" t="s">
        <v>22</v>
      </c>
      <c r="D686" s="26" t="s">
        <v>15</v>
      </c>
      <c r="E686" s="26" t="s">
        <v>29</v>
      </c>
      <c r="F686" s="28">
        <v>5359.13</v>
      </c>
      <c r="G686" s="33" t="s">
        <v>34</v>
      </c>
    </row>
    <row r="687" spans="1:7" x14ac:dyDescent="0.3">
      <c r="A687" s="32" t="s">
        <v>727</v>
      </c>
      <c r="B687" s="27">
        <v>45416</v>
      </c>
      <c r="C687" s="26" t="s">
        <v>22</v>
      </c>
      <c r="D687" s="26" t="s">
        <v>15</v>
      </c>
      <c r="E687" s="26" t="s">
        <v>27</v>
      </c>
      <c r="F687" s="28">
        <v>2880.97</v>
      </c>
      <c r="G687" s="33" t="s">
        <v>36</v>
      </c>
    </row>
    <row r="688" spans="1:7" x14ac:dyDescent="0.3">
      <c r="A688" s="32" t="s">
        <v>728</v>
      </c>
      <c r="B688" s="27">
        <v>45416</v>
      </c>
      <c r="C688" s="26" t="s">
        <v>22</v>
      </c>
      <c r="D688" s="26" t="s">
        <v>15</v>
      </c>
      <c r="E688" s="26" t="s">
        <v>29</v>
      </c>
      <c r="F688" s="28">
        <v>23100.11</v>
      </c>
      <c r="G688" s="33" t="s">
        <v>35</v>
      </c>
    </row>
    <row r="689" spans="1:7" x14ac:dyDescent="0.3">
      <c r="A689" s="32" t="s">
        <v>729</v>
      </c>
      <c r="B689" s="27">
        <v>45416</v>
      </c>
      <c r="C689" s="26" t="s">
        <v>22</v>
      </c>
      <c r="D689" s="26" t="s">
        <v>14</v>
      </c>
      <c r="E689" s="26" t="s">
        <v>46</v>
      </c>
      <c r="F689" s="28">
        <v>43071.85</v>
      </c>
      <c r="G689" s="33" t="s">
        <v>34</v>
      </c>
    </row>
    <row r="690" spans="1:7" x14ac:dyDescent="0.3">
      <c r="A690" s="32" t="s">
        <v>730</v>
      </c>
      <c r="B690" s="27">
        <v>45416</v>
      </c>
      <c r="C690" s="26" t="s">
        <v>22</v>
      </c>
      <c r="D690" s="26" t="s">
        <v>15</v>
      </c>
      <c r="E690" s="26" t="s">
        <v>31</v>
      </c>
      <c r="F690" s="28">
        <v>21115.54</v>
      </c>
      <c r="G690" s="33" t="s">
        <v>34</v>
      </c>
    </row>
    <row r="691" spans="1:7" x14ac:dyDescent="0.3">
      <c r="A691" s="32" t="s">
        <v>731</v>
      </c>
      <c r="B691" s="27">
        <v>45417</v>
      </c>
      <c r="C691" s="26" t="s">
        <v>22</v>
      </c>
      <c r="D691" s="26" t="s">
        <v>14</v>
      </c>
      <c r="E691" s="26" t="s">
        <v>46</v>
      </c>
      <c r="F691" s="28">
        <v>63118.879999999997</v>
      </c>
      <c r="G691" s="33" t="s">
        <v>35</v>
      </c>
    </row>
    <row r="692" spans="1:7" x14ac:dyDescent="0.3">
      <c r="A692" s="32" t="s">
        <v>732</v>
      </c>
      <c r="B692" s="27">
        <v>45417</v>
      </c>
      <c r="C692" s="26" t="s">
        <v>22</v>
      </c>
      <c r="D692" s="26" t="s">
        <v>14</v>
      </c>
      <c r="E692" s="26" t="s">
        <v>46</v>
      </c>
      <c r="F692" s="28">
        <v>42837.71</v>
      </c>
      <c r="G692" s="33" t="s">
        <v>36</v>
      </c>
    </row>
    <row r="693" spans="1:7" x14ac:dyDescent="0.3">
      <c r="A693" s="32" t="s">
        <v>733</v>
      </c>
      <c r="B693" s="27">
        <v>45417</v>
      </c>
      <c r="C693" s="26" t="s">
        <v>22</v>
      </c>
      <c r="D693" s="26" t="s">
        <v>15</v>
      </c>
      <c r="E693" s="26" t="s">
        <v>27</v>
      </c>
      <c r="F693" s="28">
        <v>16153.01</v>
      </c>
      <c r="G693" s="33" t="s">
        <v>35</v>
      </c>
    </row>
    <row r="694" spans="1:7" x14ac:dyDescent="0.3">
      <c r="A694" s="32" t="s">
        <v>734</v>
      </c>
      <c r="B694" s="27">
        <v>45417</v>
      </c>
      <c r="C694" s="26" t="s">
        <v>22</v>
      </c>
      <c r="D694" s="26" t="s">
        <v>15</v>
      </c>
      <c r="E694" s="26" t="s">
        <v>29</v>
      </c>
      <c r="F694" s="28">
        <v>22834.720000000001</v>
      </c>
      <c r="G694" s="33" t="s">
        <v>34</v>
      </c>
    </row>
    <row r="695" spans="1:7" x14ac:dyDescent="0.3">
      <c r="A695" s="32" t="s">
        <v>735</v>
      </c>
      <c r="B695" s="27">
        <v>45417</v>
      </c>
      <c r="C695" s="26" t="s">
        <v>22</v>
      </c>
      <c r="D695" s="26" t="s">
        <v>14</v>
      </c>
      <c r="E695" s="26" t="s">
        <v>46</v>
      </c>
      <c r="F695" s="28">
        <v>11330.27</v>
      </c>
      <c r="G695" s="33" t="s">
        <v>34</v>
      </c>
    </row>
    <row r="696" spans="1:7" x14ac:dyDescent="0.3">
      <c r="A696" s="32" t="s">
        <v>736</v>
      </c>
      <c r="B696" s="27">
        <v>45417</v>
      </c>
      <c r="C696" s="26" t="s">
        <v>22</v>
      </c>
      <c r="D696" s="26" t="s">
        <v>14</v>
      </c>
      <c r="E696" s="26" t="s">
        <v>46</v>
      </c>
      <c r="F696" s="28">
        <v>25095.83</v>
      </c>
      <c r="G696" s="33" t="s">
        <v>34</v>
      </c>
    </row>
    <row r="697" spans="1:7" x14ac:dyDescent="0.3">
      <c r="A697" s="32" t="s">
        <v>737</v>
      </c>
      <c r="B697" s="27">
        <v>45417</v>
      </c>
      <c r="C697" s="26" t="s">
        <v>22</v>
      </c>
      <c r="D697" s="26" t="s">
        <v>15</v>
      </c>
      <c r="E697" s="26" t="s">
        <v>28</v>
      </c>
      <c r="F697" s="28">
        <v>5438.95</v>
      </c>
      <c r="G697" s="33" t="s">
        <v>34</v>
      </c>
    </row>
    <row r="698" spans="1:7" x14ac:dyDescent="0.3">
      <c r="A698" s="32" t="s">
        <v>738</v>
      </c>
      <c r="B698" s="27">
        <v>45418</v>
      </c>
      <c r="C698" s="26" t="s">
        <v>22</v>
      </c>
      <c r="D698" s="26" t="s">
        <v>14</v>
      </c>
      <c r="E698" s="26" t="s">
        <v>46</v>
      </c>
      <c r="F698" s="28">
        <v>75815.820000000007</v>
      </c>
      <c r="G698" s="33" t="s">
        <v>34</v>
      </c>
    </row>
    <row r="699" spans="1:7" x14ac:dyDescent="0.3">
      <c r="A699" s="32" t="s">
        <v>739</v>
      </c>
      <c r="B699" s="27">
        <v>45418</v>
      </c>
      <c r="C699" s="26" t="s">
        <v>22</v>
      </c>
      <c r="D699" s="26" t="s">
        <v>15</v>
      </c>
      <c r="E699" s="26" t="s">
        <v>31</v>
      </c>
      <c r="F699" s="28">
        <v>16004.24</v>
      </c>
      <c r="G699" s="33" t="s">
        <v>34</v>
      </c>
    </row>
    <row r="700" spans="1:7" x14ac:dyDescent="0.3">
      <c r="A700" s="32" t="s">
        <v>740</v>
      </c>
      <c r="B700" s="27">
        <v>45418</v>
      </c>
      <c r="C700" s="26" t="s">
        <v>22</v>
      </c>
      <c r="D700" s="26" t="s">
        <v>14</v>
      </c>
      <c r="E700" s="26" t="s">
        <v>46</v>
      </c>
      <c r="F700" s="28">
        <v>39627.83</v>
      </c>
      <c r="G700" s="33" t="s">
        <v>35</v>
      </c>
    </row>
    <row r="701" spans="1:7" x14ac:dyDescent="0.3">
      <c r="A701" s="32" t="s">
        <v>741</v>
      </c>
      <c r="B701" s="27">
        <v>45419</v>
      </c>
      <c r="C701" s="26" t="s">
        <v>22</v>
      </c>
      <c r="D701" s="26" t="s">
        <v>15</v>
      </c>
      <c r="E701" s="26" t="s">
        <v>27</v>
      </c>
      <c r="F701" s="28">
        <v>19851.97</v>
      </c>
      <c r="G701" s="33" t="s">
        <v>34</v>
      </c>
    </row>
    <row r="702" spans="1:7" x14ac:dyDescent="0.3">
      <c r="A702" s="32" t="s">
        <v>742</v>
      </c>
      <c r="B702" s="27">
        <v>45420</v>
      </c>
      <c r="C702" s="26" t="s">
        <v>22</v>
      </c>
      <c r="D702" s="26" t="s">
        <v>15</v>
      </c>
      <c r="E702" s="26" t="s">
        <v>29</v>
      </c>
      <c r="F702" s="28">
        <v>7465.73</v>
      </c>
      <c r="G702" s="33" t="s">
        <v>34</v>
      </c>
    </row>
    <row r="703" spans="1:7" x14ac:dyDescent="0.3">
      <c r="A703" s="32" t="s">
        <v>743</v>
      </c>
      <c r="B703" s="27">
        <v>45420</v>
      </c>
      <c r="C703" s="26" t="s">
        <v>22</v>
      </c>
      <c r="D703" s="26" t="s">
        <v>14</v>
      </c>
      <c r="E703" s="26" t="s">
        <v>46</v>
      </c>
      <c r="F703" s="28">
        <v>18529.38</v>
      </c>
      <c r="G703" s="33" t="s">
        <v>34</v>
      </c>
    </row>
    <row r="704" spans="1:7" x14ac:dyDescent="0.3">
      <c r="A704" s="32" t="s">
        <v>744</v>
      </c>
      <c r="B704" s="27">
        <v>45421</v>
      </c>
      <c r="C704" s="26" t="s">
        <v>22</v>
      </c>
      <c r="D704" s="26" t="s">
        <v>14</v>
      </c>
      <c r="E704" s="26" t="s">
        <v>46</v>
      </c>
      <c r="F704" s="28">
        <v>26690.77</v>
      </c>
      <c r="G704" s="33" t="s">
        <v>34</v>
      </c>
    </row>
    <row r="705" spans="1:7" x14ac:dyDescent="0.3">
      <c r="A705" s="32" t="s">
        <v>745</v>
      </c>
      <c r="B705" s="27">
        <v>45421</v>
      </c>
      <c r="C705" s="26" t="s">
        <v>22</v>
      </c>
      <c r="D705" s="26" t="s">
        <v>14</v>
      </c>
      <c r="E705" s="26" t="s">
        <v>46</v>
      </c>
      <c r="F705" s="28">
        <v>54726.62</v>
      </c>
      <c r="G705" s="33" t="s">
        <v>34</v>
      </c>
    </row>
    <row r="706" spans="1:7" x14ac:dyDescent="0.3">
      <c r="A706" s="32" t="s">
        <v>746</v>
      </c>
      <c r="B706" s="27">
        <v>45421</v>
      </c>
      <c r="C706" s="26" t="s">
        <v>22</v>
      </c>
      <c r="D706" s="26" t="s">
        <v>14</v>
      </c>
      <c r="E706" s="26" t="s">
        <v>46</v>
      </c>
      <c r="F706" s="28">
        <v>53596.74</v>
      </c>
      <c r="G706" s="33" t="s">
        <v>34</v>
      </c>
    </row>
    <row r="707" spans="1:7" x14ac:dyDescent="0.3">
      <c r="A707" s="32" t="s">
        <v>747</v>
      </c>
      <c r="B707" s="27">
        <v>45421</v>
      </c>
      <c r="C707" s="26" t="s">
        <v>22</v>
      </c>
      <c r="D707" s="26" t="s">
        <v>15</v>
      </c>
      <c r="E707" s="26" t="s">
        <v>30</v>
      </c>
      <c r="F707" s="28">
        <v>3444.56</v>
      </c>
      <c r="G707" s="33" t="s">
        <v>35</v>
      </c>
    </row>
    <row r="708" spans="1:7" x14ac:dyDescent="0.3">
      <c r="A708" s="32" t="s">
        <v>748</v>
      </c>
      <c r="B708" s="27">
        <v>45421</v>
      </c>
      <c r="C708" s="26" t="s">
        <v>22</v>
      </c>
      <c r="D708" s="26" t="s">
        <v>14</v>
      </c>
      <c r="E708" s="26" t="s">
        <v>46</v>
      </c>
      <c r="F708" s="28">
        <v>68568.14</v>
      </c>
      <c r="G708" s="33" t="s">
        <v>34</v>
      </c>
    </row>
    <row r="709" spans="1:7" x14ac:dyDescent="0.3">
      <c r="A709" s="32" t="s">
        <v>749</v>
      </c>
      <c r="B709" s="27">
        <v>45421</v>
      </c>
      <c r="C709" s="26" t="s">
        <v>22</v>
      </c>
      <c r="D709" s="26" t="s">
        <v>15</v>
      </c>
      <c r="E709" s="26" t="s">
        <v>31</v>
      </c>
      <c r="F709" s="28">
        <v>13496.07</v>
      </c>
      <c r="G709" s="33" t="s">
        <v>34</v>
      </c>
    </row>
    <row r="710" spans="1:7" x14ac:dyDescent="0.3">
      <c r="A710" s="32" t="s">
        <v>750</v>
      </c>
      <c r="B710" s="27">
        <v>45421</v>
      </c>
      <c r="C710" s="26" t="s">
        <v>22</v>
      </c>
      <c r="D710" s="26" t="s">
        <v>14</v>
      </c>
      <c r="E710" s="26" t="s">
        <v>46</v>
      </c>
      <c r="F710" s="28">
        <v>47523.76</v>
      </c>
      <c r="G710" s="33" t="s">
        <v>34</v>
      </c>
    </row>
    <row r="711" spans="1:7" x14ac:dyDescent="0.3">
      <c r="A711" s="32" t="s">
        <v>751</v>
      </c>
      <c r="B711" s="27">
        <v>45421</v>
      </c>
      <c r="C711" s="26" t="s">
        <v>22</v>
      </c>
      <c r="D711" s="26" t="s">
        <v>15</v>
      </c>
      <c r="E711" s="26" t="s">
        <v>29</v>
      </c>
      <c r="F711" s="28">
        <v>16534.96</v>
      </c>
      <c r="G711" s="33" t="s">
        <v>36</v>
      </c>
    </row>
    <row r="712" spans="1:7" x14ac:dyDescent="0.3">
      <c r="A712" s="32" t="s">
        <v>752</v>
      </c>
      <c r="B712" s="27">
        <v>45422</v>
      </c>
      <c r="C712" s="26" t="s">
        <v>22</v>
      </c>
      <c r="D712" s="26" t="s">
        <v>15</v>
      </c>
      <c r="E712" s="26" t="s">
        <v>28</v>
      </c>
      <c r="F712" s="28">
        <v>15226.09</v>
      </c>
      <c r="G712" s="33" t="s">
        <v>35</v>
      </c>
    </row>
    <row r="713" spans="1:7" x14ac:dyDescent="0.3">
      <c r="A713" s="32" t="s">
        <v>753</v>
      </c>
      <c r="B713" s="27">
        <v>45422</v>
      </c>
      <c r="C713" s="26" t="s">
        <v>22</v>
      </c>
      <c r="D713" s="26" t="s">
        <v>15</v>
      </c>
      <c r="E713" s="26" t="s">
        <v>29</v>
      </c>
      <c r="F713" s="28">
        <v>18526.52</v>
      </c>
      <c r="G713" s="33" t="s">
        <v>35</v>
      </c>
    </row>
    <row r="714" spans="1:7" x14ac:dyDescent="0.3">
      <c r="A714" s="32" t="s">
        <v>754</v>
      </c>
      <c r="B714" s="27">
        <v>45422</v>
      </c>
      <c r="C714" s="26" t="s">
        <v>22</v>
      </c>
      <c r="D714" s="26" t="s">
        <v>15</v>
      </c>
      <c r="E714" s="26" t="s">
        <v>31</v>
      </c>
      <c r="F714" s="28">
        <v>8699.26</v>
      </c>
      <c r="G714" s="33" t="s">
        <v>34</v>
      </c>
    </row>
    <row r="715" spans="1:7" x14ac:dyDescent="0.3">
      <c r="A715" s="32" t="s">
        <v>755</v>
      </c>
      <c r="B715" s="27">
        <v>45422</v>
      </c>
      <c r="C715" s="26" t="s">
        <v>22</v>
      </c>
      <c r="D715" s="26" t="s">
        <v>15</v>
      </c>
      <c r="E715" s="26" t="s">
        <v>28</v>
      </c>
      <c r="F715" s="28">
        <v>2035.98</v>
      </c>
      <c r="G715" s="33" t="s">
        <v>34</v>
      </c>
    </row>
    <row r="716" spans="1:7" x14ac:dyDescent="0.3">
      <c r="A716" s="32" t="s">
        <v>756</v>
      </c>
      <c r="B716" s="27">
        <v>45422</v>
      </c>
      <c r="C716" s="26" t="s">
        <v>22</v>
      </c>
      <c r="D716" s="26" t="s">
        <v>14</v>
      </c>
      <c r="E716" s="26" t="s">
        <v>46</v>
      </c>
      <c r="F716" s="28">
        <v>34697.120000000003</v>
      </c>
      <c r="G716" s="33" t="s">
        <v>34</v>
      </c>
    </row>
    <row r="717" spans="1:7" x14ac:dyDescent="0.3">
      <c r="A717" s="32" t="s">
        <v>757</v>
      </c>
      <c r="B717" s="27">
        <v>45423</v>
      </c>
      <c r="C717" s="26" t="s">
        <v>22</v>
      </c>
      <c r="D717" s="26" t="s">
        <v>15</v>
      </c>
      <c r="E717" s="26" t="s">
        <v>27</v>
      </c>
      <c r="F717" s="28">
        <v>15125.27</v>
      </c>
      <c r="G717" s="33" t="s">
        <v>34</v>
      </c>
    </row>
    <row r="718" spans="1:7" x14ac:dyDescent="0.3">
      <c r="A718" s="32" t="s">
        <v>758</v>
      </c>
      <c r="B718" s="27">
        <v>45423</v>
      </c>
      <c r="C718" s="26" t="s">
        <v>22</v>
      </c>
      <c r="D718" s="26" t="s">
        <v>15</v>
      </c>
      <c r="E718" s="26" t="s">
        <v>31</v>
      </c>
      <c r="F718" s="28">
        <v>6308.22</v>
      </c>
      <c r="G718" s="33" t="s">
        <v>36</v>
      </c>
    </row>
    <row r="719" spans="1:7" x14ac:dyDescent="0.3">
      <c r="A719" s="32" t="s">
        <v>759</v>
      </c>
      <c r="B719" s="27">
        <v>45424</v>
      </c>
      <c r="C719" s="26" t="s">
        <v>22</v>
      </c>
      <c r="D719" s="26" t="s">
        <v>15</v>
      </c>
      <c r="E719" s="26" t="s">
        <v>29</v>
      </c>
      <c r="F719" s="28">
        <v>17368.939999999999</v>
      </c>
      <c r="G719" s="33" t="s">
        <v>34</v>
      </c>
    </row>
    <row r="720" spans="1:7" x14ac:dyDescent="0.3">
      <c r="A720" s="32" t="s">
        <v>760</v>
      </c>
      <c r="B720" s="27">
        <v>45424</v>
      </c>
      <c r="C720" s="26" t="s">
        <v>22</v>
      </c>
      <c r="D720" s="26" t="s">
        <v>14</v>
      </c>
      <c r="E720" s="26" t="s">
        <v>46</v>
      </c>
      <c r="F720" s="28">
        <v>46643.92</v>
      </c>
      <c r="G720" s="33" t="s">
        <v>35</v>
      </c>
    </row>
    <row r="721" spans="1:7" x14ac:dyDescent="0.3">
      <c r="A721" s="32" t="s">
        <v>761</v>
      </c>
      <c r="B721" s="27">
        <v>45424</v>
      </c>
      <c r="C721" s="26" t="s">
        <v>22</v>
      </c>
      <c r="D721" s="26" t="s">
        <v>15</v>
      </c>
      <c r="E721" s="26" t="s">
        <v>29</v>
      </c>
      <c r="F721" s="28">
        <v>10293.89</v>
      </c>
      <c r="G721" s="33" t="s">
        <v>35</v>
      </c>
    </row>
    <row r="722" spans="1:7" x14ac:dyDescent="0.3">
      <c r="A722" s="32" t="s">
        <v>762</v>
      </c>
      <c r="B722" s="27">
        <v>45425</v>
      </c>
      <c r="C722" s="26" t="s">
        <v>22</v>
      </c>
      <c r="D722" s="26" t="s">
        <v>15</v>
      </c>
      <c r="E722" s="26" t="s">
        <v>27</v>
      </c>
      <c r="F722" s="28">
        <v>23928.28</v>
      </c>
      <c r="G722" s="33" t="s">
        <v>34</v>
      </c>
    </row>
    <row r="723" spans="1:7" x14ac:dyDescent="0.3">
      <c r="A723" s="32" t="s">
        <v>763</v>
      </c>
      <c r="B723" s="27">
        <v>45425</v>
      </c>
      <c r="C723" s="26" t="s">
        <v>22</v>
      </c>
      <c r="D723" s="26" t="s">
        <v>14</v>
      </c>
      <c r="E723" s="26" t="s">
        <v>46</v>
      </c>
      <c r="F723" s="28">
        <v>48085.74</v>
      </c>
      <c r="G723" s="33" t="s">
        <v>36</v>
      </c>
    </row>
    <row r="724" spans="1:7" x14ac:dyDescent="0.3">
      <c r="A724" s="32" t="s">
        <v>764</v>
      </c>
      <c r="B724" s="27">
        <v>45425</v>
      </c>
      <c r="C724" s="26" t="s">
        <v>22</v>
      </c>
      <c r="D724" s="26" t="s">
        <v>14</v>
      </c>
      <c r="E724" s="26" t="s">
        <v>46</v>
      </c>
      <c r="F724" s="28">
        <v>65048.86</v>
      </c>
      <c r="G724" s="33" t="s">
        <v>34</v>
      </c>
    </row>
    <row r="725" spans="1:7" x14ac:dyDescent="0.3">
      <c r="A725" s="32" t="s">
        <v>765</v>
      </c>
      <c r="B725" s="27">
        <v>45425</v>
      </c>
      <c r="C725" s="26" t="s">
        <v>22</v>
      </c>
      <c r="D725" s="26" t="s">
        <v>15</v>
      </c>
      <c r="E725" s="26" t="s">
        <v>29</v>
      </c>
      <c r="F725" s="28">
        <v>13675.32</v>
      </c>
      <c r="G725" s="33" t="s">
        <v>34</v>
      </c>
    </row>
    <row r="726" spans="1:7" x14ac:dyDescent="0.3">
      <c r="A726" s="32" t="s">
        <v>766</v>
      </c>
      <c r="B726" s="27">
        <v>45425</v>
      </c>
      <c r="C726" s="26" t="s">
        <v>22</v>
      </c>
      <c r="D726" s="26" t="s">
        <v>15</v>
      </c>
      <c r="E726" s="26" t="s">
        <v>28</v>
      </c>
      <c r="F726" s="28">
        <v>2467.69</v>
      </c>
      <c r="G726" s="33" t="s">
        <v>34</v>
      </c>
    </row>
    <row r="727" spans="1:7" x14ac:dyDescent="0.3">
      <c r="A727" s="32" t="s">
        <v>767</v>
      </c>
      <c r="B727" s="27">
        <v>45426</v>
      </c>
      <c r="C727" s="26" t="s">
        <v>22</v>
      </c>
      <c r="D727" s="26" t="s">
        <v>15</v>
      </c>
      <c r="E727" s="26" t="s">
        <v>29</v>
      </c>
      <c r="F727" s="28">
        <v>22086.62</v>
      </c>
      <c r="G727" s="33" t="s">
        <v>34</v>
      </c>
    </row>
    <row r="728" spans="1:7" x14ac:dyDescent="0.3">
      <c r="A728" s="32" t="s">
        <v>768</v>
      </c>
      <c r="B728" s="27">
        <v>45427</v>
      </c>
      <c r="C728" s="26" t="s">
        <v>22</v>
      </c>
      <c r="D728" s="26" t="s">
        <v>14</v>
      </c>
      <c r="E728" s="26" t="s">
        <v>46</v>
      </c>
      <c r="F728" s="28">
        <v>13047.41</v>
      </c>
      <c r="G728" s="33" t="s">
        <v>34</v>
      </c>
    </row>
    <row r="729" spans="1:7" x14ac:dyDescent="0.3">
      <c r="A729" s="32" t="s">
        <v>769</v>
      </c>
      <c r="B729" s="27">
        <v>45427</v>
      </c>
      <c r="C729" s="26" t="s">
        <v>22</v>
      </c>
      <c r="D729" s="26" t="s">
        <v>15</v>
      </c>
      <c r="E729" s="26" t="s">
        <v>27</v>
      </c>
      <c r="F729" s="28">
        <v>10898.27</v>
      </c>
      <c r="G729" s="33" t="s">
        <v>34</v>
      </c>
    </row>
    <row r="730" spans="1:7" x14ac:dyDescent="0.3">
      <c r="A730" s="32" t="s">
        <v>770</v>
      </c>
      <c r="B730" s="27">
        <v>45427</v>
      </c>
      <c r="C730" s="26" t="s">
        <v>22</v>
      </c>
      <c r="D730" s="26" t="s">
        <v>14</v>
      </c>
      <c r="E730" s="26" t="s">
        <v>46</v>
      </c>
      <c r="F730" s="28">
        <v>36131.17</v>
      </c>
      <c r="G730" s="33" t="s">
        <v>34</v>
      </c>
    </row>
    <row r="731" spans="1:7" x14ac:dyDescent="0.3">
      <c r="A731" s="32" t="s">
        <v>771</v>
      </c>
      <c r="B731" s="27">
        <v>45427</v>
      </c>
      <c r="C731" s="26" t="s">
        <v>22</v>
      </c>
      <c r="D731" s="26" t="s">
        <v>14</v>
      </c>
      <c r="E731" s="26" t="s">
        <v>46</v>
      </c>
      <c r="F731" s="28">
        <v>62312.160000000003</v>
      </c>
      <c r="G731" s="33" t="s">
        <v>34</v>
      </c>
    </row>
    <row r="732" spans="1:7" x14ac:dyDescent="0.3">
      <c r="A732" s="32" t="s">
        <v>772</v>
      </c>
      <c r="B732" s="27">
        <v>45427</v>
      </c>
      <c r="C732" s="26" t="s">
        <v>22</v>
      </c>
      <c r="D732" s="26" t="s">
        <v>14</v>
      </c>
      <c r="E732" s="26" t="s">
        <v>46</v>
      </c>
      <c r="F732" s="28">
        <v>34996.57</v>
      </c>
      <c r="G732" s="33" t="s">
        <v>34</v>
      </c>
    </row>
    <row r="733" spans="1:7" x14ac:dyDescent="0.3">
      <c r="A733" s="32" t="s">
        <v>773</v>
      </c>
      <c r="B733" s="27">
        <v>45427</v>
      </c>
      <c r="C733" s="26" t="s">
        <v>22</v>
      </c>
      <c r="D733" s="26" t="s">
        <v>15</v>
      </c>
      <c r="E733" s="26" t="s">
        <v>29</v>
      </c>
      <c r="F733" s="28">
        <v>3553.87</v>
      </c>
      <c r="G733" s="33" t="s">
        <v>34</v>
      </c>
    </row>
    <row r="734" spans="1:7" x14ac:dyDescent="0.3">
      <c r="A734" s="32" t="s">
        <v>774</v>
      </c>
      <c r="B734" s="27">
        <v>45427</v>
      </c>
      <c r="C734" s="26" t="s">
        <v>22</v>
      </c>
      <c r="D734" s="26" t="s">
        <v>15</v>
      </c>
      <c r="E734" s="26" t="s">
        <v>31</v>
      </c>
      <c r="F734" s="28">
        <v>7545.9</v>
      </c>
      <c r="G734" s="33" t="s">
        <v>34</v>
      </c>
    </row>
    <row r="735" spans="1:7" x14ac:dyDescent="0.3">
      <c r="A735" s="32" t="s">
        <v>775</v>
      </c>
      <c r="B735" s="27">
        <v>45428</v>
      </c>
      <c r="C735" s="26" t="s">
        <v>22</v>
      </c>
      <c r="D735" s="26" t="s">
        <v>15</v>
      </c>
      <c r="E735" s="26" t="s">
        <v>27</v>
      </c>
      <c r="F735" s="28">
        <v>17113.400000000001</v>
      </c>
      <c r="G735" s="33" t="s">
        <v>34</v>
      </c>
    </row>
    <row r="736" spans="1:7" x14ac:dyDescent="0.3">
      <c r="A736" s="32" t="s">
        <v>776</v>
      </c>
      <c r="B736" s="27">
        <v>45428</v>
      </c>
      <c r="C736" s="26" t="s">
        <v>22</v>
      </c>
      <c r="D736" s="26" t="s">
        <v>15</v>
      </c>
      <c r="E736" s="26" t="s">
        <v>31</v>
      </c>
      <c r="F736" s="28">
        <v>4384.2700000000004</v>
      </c>
      <c r="G736" s="33" t="s">
        <v>35</v>
      </c>
    </row>
    <row r="737" spans="1:7" x14ac:dyDescent="0.3">
      <c r="A737" s="32" t="s">
        <v>777</v>
      </c>
      <c r="B737" s="27">
        <v>45428</v>
      </c>
      <c r="C737" s="26" t="s">
        <v>22</v>
      </c>
      <c r="D737" s="26" t="s">
        <v>15</v>
      </c>
      <c r="E737" s="26" t="s">
        <v>28</v>
      </c>
      <c r="F737" s="28">
        <v>15383.78</v>
      </c>
      <c r="G737" s="33" t="s">
        <v>35</v>
      </c>
    </row>
    <row r="738" spans="1:7" x14ac:dyDescent="0.3">
      <c r="A738" s="32" t="s">
        <v>778</v>
      </c>
      <c r="B738" s="27">
        <v>45428</v>
      </c>
      <c r="C738" s="26" t="s">
        <v>22</v>
      </c>
      <c r="D738" s="26" t="s">
        <v>15</v>
      </c>
      <c r="E738" s="26" t="s">
        <v>31</v>
      </c>
      <c r="F738" s="28">
        <v>19403.62</v>
      </c>
      <c r="G738" s="33" t="s">
        <v>35</v>
      </c>
    </row>
    <row r="739" spans="1:7" x14ac:dyDescent="0.3">
      <c r="A739" s="32" t="s">
        <v>779</v>
      </c>
      <c r="B739" s="27">
        <v>45428</v>
      </c>
      <c r="C739" s="26" t="s">
        <v>22</v>
      </c>
      <c r="D739" s="26" t="s">
        <v>15</v>
      </c>
      <c r="E739" s="26" t="s">
        <v>30</v>
      </c>
      <c r="F739" s="28">
        <v>5068.42</v>
      </c>
      <c r="G739" s="33" t="s">
        <v>35</v>
      </c>
    </row>
    <row r="740" spans="1:7" x14ac:dyDescent="0.3">
      <c r="A740" s="32" t="s">
        <v>780</v>
      </c>
      <c r="B740" s="27">
        <v>45429</v>
      </c>
      <c r="C740" s="26" t="s">
        <v>22</v>
      </c>
      <c r="D740" s="26" t="s">
        <v>15</v>
      </c>
      <c r="E740" s="26" t="s">
        <v>28</v>
      </c>
      <c r="F740" s="28">
        <v>10102.879999999999</v>
      </c>
      <c r="G740" s="33" t="s">
        <v>34</v>
      </c>
    </row>
    <row r="741" spans="1:7" x14ac:dyDescent="0.3">
      <c r="A741" s="32" t="s">
        <v>781</v>
      </c>
      <c r="B741" s="27">
        <v>45429</v>
      </c>
      <c r="C741" s="26" t="s">
        <v>22</v>
      </c>
      <c r="D741" s="26" t="s">
        <v>15</v>
      </c>
      <c r="E741" s="26" t="s">
        <v>29</v>
      </c>
      <c r="F741" s="28">
        <v>9786.59</v>
      </c>
      <c r="G741" s="33" t="s">
        <v>35</v>
      </c>
    </row>
    <row r="742" spans="1:7" x14ac:dyDescent="0.3">
      <c r="A742" s="32" t="s">
        <v>782</v>
      </c>
      <c r="B742" s="27">
        <v>45429</v>
      </c>
      <c r="C742" s="26" t="s">
        <v>22</v>
      </c>
      <c r="D742" s="26" t="s">
        <v>15</v>
      </c>
      <c r="E742" s="26" t="s">
        <v>31</v>
      </c>
      <c r="F742" s="28">
        <v>16784.3</v>
      </c>
      <c r="G742" s="33" t="s">
        <v>34</v>
      </c>
    </row>
    <row r="743" spans="1:7" x14ac:dyDescent="0.3">
      <c r="A743" s="32" t="s">
        <v>783</v>
      </c>
      <c r="B743" s="27">
        <v>45429</v>
      </c>
      <c r="C743" s="26" t="s">
        <v>22</v>
      </c>
      <c r="D743" s="26" t="s">
        <v>14</v>
      </c>
      <c r="E743" s="26" t="s">
        <v>46</v>
      </c>
      <c r="F743" s="28">
        <v>68126.86</v>
      </c>
      <c r="G743" s="33" t="s">
        <v>34</v>
      </c>
    </row>
    <row r="744" spans="1:7" x14ac:dyDescent="0.3">
      <c r="A744" s="32" t="s">
        <v>784</v>
      </c>
      <c r="B744" s="27">
        <v>45429</v>
      </c>
      <c r="C744" s="26" t="s">
        <v>22</v>
      </c>
      <c r="D744" s="26" t="s">
        <v>15</v>
      </c>
      <c r="E744" s="26" t="s">
        <v>28</v>
      </c>
      <c r="F744" s="28">
        <v>17747.7</v>
      </c>
      <c r="G744" s="33" t="s">
        <v>35</v>
      </c>
    </row>
    <row r="745" spans="1:7" x14ac:dyDescent="0.3">
      <c r="A745" s="32" t="s">
        <v>785</v>
      </c>
      <c r="B745" s="27">
        <v>45429</v>
      </c>
      <c r="C745" s="26" t="s">
        <v>22</v>
      </c>
      <c r="D745" s="26" t="s">
        <v>15</v>
      </c>
      <c r="E745" s="26" t="s">
        <v>27</v>
      </c>
      <c r="F745" s="28">
        <v>24558.84</v>
      </c>
      <c r="G745" s="33" t="s">
        <v>34</v>
      </c>
    </row>
    <row r="746" spans="1:7" x14ac:dyDescent="0.3">
      <c r="A746" s="32" t="s">
        <v>786</v>
      </c>
      <c r="B746" s="27">
        <v>45429</v>
      </c>
      <c r="C746" s="26" t="s">
        <v>22</v>
      </c>
      <c r="D746" s="26" t="s">
        <v>14</v>
      </c>
      <c r="E746" s="26" t="s">
        <v>46</v>
      </c>
      <c r="F746" s="28">
        <v>43497.18</v>
      </c>
      <c r="G746" s="33" t="s">
        <v>35</v>
      </c>
    </row>
    <row r="747" spans="1:7" x14ac:dyDescent="0.3">
      <c r="A747" s="32" t="s">
        <v>787</v>
      </c>
      <c r="B747" s="27">
        <v>45429</v>
      </c>
      <c r="C747" s="26" t="s">
        <v>22</v>
      </c>
      <c r="D747" s="26" t="s">
        <v>15</v>
      </c>
      <c r="E747" s="26" t="s">
        <v>29</v>
      </c>
      <c r="F747" s="28">
        <v>6192.39</v>
      </c>
      <c r="G747" s="33" t="s">
        <v>35</v>
      </c>
    </row>
    <row r="748" spans="1:7" x14ac:dyDescent="0.3">
      <c r="A748" s="32" t="s">
        <v>788</v>
      </c>
      <c r="B748" s="27">
        <v>45429</v>
      </c>
      <c r="C748" s="26" t="s">
        <v>22</v>
      </c>
      <c r="D748" s="26" t="s">
        <v>15</v>
      </c>
      <c r="E748" s="26" t="s">
        <v>30</v>
      </c>
      <c r="F748" s="28">
        <v>5101.6099999999997</v>
      </c>
      <c r="G748" s="33" t="s">
        <v>35</v>
      </c>
    </row>
    <row r="749" spans="1:7" x14ac:dyDescent="0.3">
      <c r="A749" s="32" t="s">
        <v>789</v>
      </c>
      <c r="B749" s="27">
        <v>45429</v>
      </c>
      <c r="C749" s="26" t="s">
        <v>22</v>
      </c>
      <c r="D749" s="26" t="s">
        <v>15</v>
      </c>
      <c r="E749" s="26" t="s">
        <v>30</v>
      </c>
      <c r="F749" s="28">
        <v>18469.04</v>
      </c>
      <c r="G749" s="33" t="s">
        <v>36</v>
      </c>
    </row>
    <row r="750" spans="1:7" x14ac:dyDescent="0.3">
      <c r="A750" s="32" t="s">
        <v>790</v>
      </c>
      <c r="B750" s="27">
        <v>45430</v>
      </c>
      <c r="C750" s="26" t="s">
        <v>22</v>
      </c>
      <c r="D750" s="26" t="s">
        <v>15</v>
      </c>
      <c r="E750" s="26" t="s">
        <v>30</v>
      </c>
      <c r="F750" s="28">
        <v>23702.92</v>
      </c>
      <c r="G750" s="33" t="s">
        <v>34</v>
      </c>
    </row>
    <row r="751" spans="1:7" x14ac:dyDescent="0.3">
      <c r="A751" s="32" t="s">
        <v>791</v>
      </c>
      <c r="B751" s="27">
        <v>45430</v>
      </c>
      <c r="C751" s="26" t="s">
        <v>22</v>
      </c>
      <c r="D751" s="26" t="s">
        <v>15</v>
      </c>
      <c r="E751" s="26" t="s">
        <v>28</v>
      </c>
      <c r="F751" s="28">
        <v>2850.63</v>
      </c>
      <c r="G751" s="33" t="s">
        <v>34</v>
      </c>
    </row>
    <row r="752" spans="1:7" x14ac:dyDescent="0.3">
      <c r="A752" s="32" t="s">
        <v>792</v>
      </c>
      <c r="B752" s="27">
        <v>45430</v>
      </c>
      <c r="C752" s="26" t="s">
        <v>22</v>
      </c>
      <c r="D752" s="26" t="s">
        <v>14</v>
      </c>
      <c r="E752" s="26" t="s">
        <v>46</v>
      </c>
      <c r="F752" s="28">
        <v>24111.37</v>
      </c>
      <c r="G752" s="33" t="s">
        <v>34</v>
      </c>
    </row>
    <row r="753" spans="1:7" x14ac:dyDescent="0.3">
      <c r="A753" s="32" t="s">
        <v>793</v>
      </c>
      <c r="B753" s="27">
        <v>45430</v>
      </c>
      <c r="C753" s="26" t="s">
        <v>22</v>
      </c>
      <c r="D753" s="26" t="s">
        <v>15</v>
      </c>
      <c r="E753" s="26" t="s">
        <v>30</v>
      </c>
      <c r="F753" s="28">
        <v>20195.509999999998</v>
      </c>
      <c r="G753" s="33" t="s">
        <v>34</v>
      </c>
    </row>
    <row r="754" spans="1:7" x14ac:dyDescent="0.3">
      <c r="A754" s="32" t="s">
        <v>794</v>
      </c>
      <c r="B754" s="27">
        <v>45430</v>
      </c>
      <c r="C754" s="26" t="s">
        <v>22</v>
      </c>
      <c r="D754" s="26" t="s">
        <v>15</v>
      </c>
      <c r="E754" s="26" t="s">
        <v>27</v>
      </c>
      <c r="F754" s="28">
        <v>22373.18</v>
      </c>
      <c r="G754" s="33" t="s">
        <v>34</v>
      </c>
    </row>
    <row r="755" spans="1:7" x14ac:dyDescent="0.3">
      <c r="A755" s="32" t="s">
        <v>795</v>
      </c>
      <c r="B755" s="27">
        <v>45430</v>
      </c>
      <c r="C755" s="26" t="s">
        <v>22</v>
      </c>
      <c r="D755" s="26" t="s">
        <v>14</v>
      </c>
      <c r="E755" s="26" t="s">
        <v>46</v>
      </c>
      <c r="F755" s="28">
        <v>32091.71</v>
      </c>
      <c r="G755" s="33" t="s">
        <v>35</v>
      </c>
    </row>
    <row r="756" spans="1:7" x14ac:dyDescent="0.3">
      <c r="A756" s="32" t="s">
        <v>796</v>
      </c>
      <c r="B756" s="27">
        <v>45430</v>
      </c>
      <c r="C756" s="26" t="s">
        <v>22</v>
      </c>
      <c r="D756" s="26" t="s">
        <v>14</v>
      </c>
      <c r="E756" s="26" t="s">
        <v>46</v>
      </c>
      <c r="F756" s="28">
        <v>31705.31</v>
      </c>
      <c r="G756" s="33" t="s">
        <v>35</v>
      </c>
    </row>
    <row r="757" spans="1:7" x14ac:dyDescent="0.3">
      <c r="A757" s="32" t="s">
        <v>797</v>
      </c>
      <c r="B757" s="27">
        <v>45430</v>
      </c>
      <c r="C757" s="26" t="s">
        <v>22</v>
      </c>
      <c r="D757" s="26" t="s">
        <v>15</v>
      </c>
      <c r="E757" s="26" t="s">
        <v>28</v>
      </c>
      <c r="F757" s="28">
        <v>11159.15</v>
      </c>
      <c r="G757" s="33" t="s">
        <v>34</v>
      </c>
    </row>
    <row r="758" spans="1:7" x14ac:dyDescent="0.3">
      <c r="A758" s="32" t="s">
        <v>798</v>
      </c>
      <c r="B758" s="27">
        <v>45431</v>
      </c>
      <c r="C758" s="26" t="s">
        <v>22</v>
      </c>
      <c r="D758" s="26" t="s">
        <v>15</v>
      </c>
      <c r="E758" s="26" t="s">
        <v>27</v>
      </c>
      <c r="F758" s="28">
        <v>20754.34</v>
      </c>
      <c r="G758" s="33" t="s">
        <v>34</v>
      </c>
    </row>
    <row r="759" spans="1:7" x14ac:dyDescent="0.3">
      <c r="A759" s="32" t="s">
        <v>799</v>
      </c>
      <c r="B759" s="27">
        <v>45431</v>
      </c>
      <c r="C759" s="26" t="s">
        <v>22</v>
      </c>
      <c r="D759" s="26" t="s">
        <v>15</v>
      </c>
      <c r="E759" s="26" t="s">
        <v>27</v>
      </c>
      <c r="F759" s="28">
        <v>12888.19</v>
      </c>
      <c r="G759" s="33" t="s">
        <v>34</v>
      </c>
    </row>
    <row r="760" spans="1:7" x14ac:dyDescent="0.3">
      <c r="A760" s="32" t="s">
        <v>800</v>
      </c>
      <c r="B760" s="27">
        <v>45431</v>
      </c>
      <c r="C760" s="26" t="s">
        <v>22</v>
      </c>
      <c r="D760" s="26" t="s">
        <v>15</v>
      </c>
      <c r="E760" s="26" t="s">
        <v>28</v>
      </c>
      <c r="F760" s="28">
        <v>2842.28</v>
      </c>
      <c r="G760" s="33" t="s">
        <v>34</v>
      </c>
    </row>
    <row r="761" spans="1:7" x14ac:dyDescent="0.3">
      <c r="A761" s="32" t="s">
        <v>801</v>
      </c>
      <c r="B761" s="27">
        <v>45431</v>
      </c>
      <c r="C761" s="26" t="s">
        <v>22</v>
      </c>
      <c r="D761" s="26" t="s">
        <v>15</v>
      </c>
      <c r="E761" s="26" t="s">
        <v>28</v>
      </c>
      <c r="F761" s="28">
        <v>16878.71</v>
      </c>
      <c r="G761" s="33" t="s">
        <v>35</v>
      </c>
    </row>
    <row r="762" spans="1:7" x14ac:dyDescent="0.3">
      <c r="A762" s="32" t="s">
        <v>802</v>
      </c>
      <c r="B762" s="27">
        <v>45431</v>
      </c>
      <c r="C762" s="26" t="s">
        <v>22</v>
      </c>
      <c r="D762" s="26" t="s">
        <v>14</v>
      </c>
      <c r="E762" s="26" t="s">
        <v>46</v>
      </c>
      <c r="F762" s="28">
        <v>30027.759999999998</v>
      </c>
      <c r="G762" s="33" t="s">
        <v>34</v>
      </c>
    </row>
    <row r="763" spans="1:7" x14ac:dyDescent="0.3">
      <c r="A763" s="32" t="s">
        <v>803</v>
      </c>
      <c r="B763" s="27">
        <v>45431</v>
      </c>
      <c r="C763" s="26" t="s">
        <v>22</v>
      </c>
      <c r="D763" s="26" t="s">
        <v>14</v>
      </c>
      <c r="E763" s="26" t="s">
        <v>46</v>
      </c>
      <c r="F763" s="28">
        <v>70349.7</v>
      </c>
      <c r="G763" s="33" t="s">
        <v>34</v>
      </c>
    </row>
    <row r="764" spans="1:7" x14ac:dyDescent="0.3">
      <c r="A764" s="32" t="s">
        <v>804</v>
      </c>
      <c r="B764" s="27">
        <v>45432</v>
      </c>
      <c r="C764" s="26" t="s">
        <v>22</v>
      </c>
      <c r="D764" s="26" t="s">
        <v>14</v>
      </c>
      <c r="E764" s="26" t="s">
        <v>46</v>
      </c>
      <c r="F764" s="28">
        <v>13346.28</v>
      </c>
      <c r="G764" s="33" t="s">
        <v>34</v>
      </c>
    </row>
    <row r="765" spans="1:7" x14ac:dyDescent="0.3">
      <c r="A765" s="32" t="s">
        <v>805</v>
      </c>
      <c r="B765" s="27">
        <v>45432</v>
      </c>
      <c r="C765" s="26" t="s">
        <v>22</v>
      </c>
      <c r="D765" s="26" t="s">
        <v>15</v>
      </c>
      <c r="E765" s="26" t="s">
        <v>29</v>
      </c>
      <c r="F765" s="28">
        <v>17081.82</v>
      </c>
      <c r="G765" s="33" t="s">
        <v>34</v>
      </c>
    </row>
    <row r="766" spans="1:7" x14ac:dyDescent="0.3">
      <c r="A766" s="32" t="s">
        <v>806</v>
      </c>
      <c r="B766" s="27">
        <v>45432</v>
      </c>
      <c r="C766" s="26" t="s">
        <v>22</v>
      </c>
      <c r="D766" s="26" t="s">
        <v>14</v>
      </c>
      <c r="E766" s="26" t="s">
        <v>46</v>
      </c>
      <c r="F766" s="28">
        <v>29125.16</v>
      </c>
      <c r="G766" s="33" t="s">
        <v>34</v>
      </c>
    </row>
    <row r="767" spans="1:7" x14ac:dyDescent="0.3">
      <c r="A767" s="32" t="s">
        <v>807</v>
      </c>
      <c r="B767" s="27">
        <v>45432</v>
      </c>
      <c r="C767" s="26" t="s">
        <v>22</v>
      </c>
      <c r="D767" s="26" t="s">
        <v>15</v>
      </c>
      <c r="E767" s="26" t="s">
        <v>28</v>
      </c>
      <c r="F767" s="28">
        <v>20384.88</v>
      </c>
      <c r="G767" s="33" t="s">
        <v>34</v>
      </c>
    </row>
    <row r="768" spans="1:7" x14ac:dyDescent="0.3">
      <c r="A768" s="32" t="s">
        <v>808</v>
      </c>
      <c r="B768" s="27">
        <v>45432</v>
      </c>
      <c r="C768" s="26" t="s">
        <v>22</v>
      </c>
      <c r="D768" s="26" t="s">
        <v>15</v>
      </c>
      <c r="E768" s="26" t="s">
        <v>28</v>
      </c>
      <c r="F768" s="28">
        <v>12049.88</v>
      </c>
      <c r="G768" s="33" t="s">
        <v>34</v>
      </c>
    </row>
    <row r="769" spans="1:7" x14ac:dyDescent="0.3">
      <c r="A769" s="32" t="s">
        <v>809</v>
      </c>
      <c r="B769" s="27">
        <v>45433</v>
      </c>
      <c r="C769" s="26" t="s">
        <v>22</v>
      </c>
      <c r="D769" s="26" t="s">
        <v>15</v>
      </c>
      <c r="E769" s="26" t="s">
        <v>27</v>
      </c>
      <c r="F769" s="28">
        <v>11200.5</v>
      </c>
      <c r="G769" s="33" t="s">
        <v>34</v>
      </c>
    </row>
    <row r="770" spans="1:7" x14ac:dyDescent="0.3">
      <c r="A770" s="32" t="s">
        <v>810</v>
      </c>
      <c r="B770" s="27">
        <v>45433</v>
      </c>
      <c r="C770" s="26" t="s">
        <v>22</v>
      </c>
      <c r="D770" s="26" t="s">
        <v>14</v>
      </c>
      <c r="E770" s="26" t="s">
        <v>46</v>
      </c>
      <c r="F770" s="28">
        <v>40781.56</v>
      </c>
      <c r="G770" s="33" t="s">
        <v>34</v>
      </c>
    </row>
    <row r="771" spans="1:7" x14ac:dyDescent="0.3">
      <c r="A771" s="32" t="s">
        <v>811</v>
      </c>
      <c r="B771" s="27">
        <v>45433</v>
      </c>
      <c r="C771" s="26" t="s">
        <v>22</v>
      </c>
      <c r="D771" s="26" t="s">
        <v>15</v>
      </c>
      <c r="E771" s="26" t="s">
        <v>28</v>
      </c>
      <c r="F771" s="28">
        <v>23999.01</v>
      </c>
      <c r="G771" s="33" t="s">
        <v>35</v>
      </c>
    </row>
    <row r="772" spans="1:7" x14ac:dyDescent="0.3">
      <c r="A772" s="32" t="s">
        <v>812</v>
      </c>
      <c r="B772" s="27">
        <v>45433</v>
      </c>
      <c r="C772" s="26" t="s">
        <v>22</v>
      </c>
      <c r="D772" s="26" t="s">
        <v>14</v>
      </c>
      <c r="E772" s="26" t="s">
        <v>46</v>
      </c>
      <c r="F772" s="28">
        <v>33732.559999999998</v>
      </c>
      <c r="G772" s="33" t="s">
        <v>34</v>
      </c>
    </row>
    <row r="773" spans="1:7" x14ac:dyDescent="0.3">
      <c r="A773" s="32" t="s">
        <v>813</v>
      </c>
      <c r="B773" s="27">
        <v>45433</v>
      </c>
      <c r="C773" s="26" t="s">
        <v>22</v>
      </c>
      <c r="D773" s="26" t="s">
        <v>15</v>
      </c>
      <c r="E773" s="26" t="s">
        <v>27</v>
      </c>
      <c r="F773" s="28">
        <v>6296.8</v>
      </c>
      <c r="G773" s="33" t="s">
        <v>34</v>
      </c>
    </row>
    <row r="774" spans="1:7" x14ac:dyDescent="0.3">
      <c r="A774" s="32" t="s">
        <v>814</v>
      </c>
      <c r="B774" s="27">
        <v>45433</v>
      </c>
      <c r="C774" s="26" t="s">
        <v>22</v>
      </c>
      <c r="D774" s="26" t="s">
        <v>14</v>
      </c>
      <c r="E774" s="26" t="s">
        <v>46</v>
      </c>
      <c r="F774" s="28">
        <v>58444.79</v>
      </c>
      <c r="G774" s="33" t="s">
        <v>34</v>
      </c>
    </row>
    <row r="775" spans="1:7" x14ac:dyDescent="0.3">
      <c r="A775" s="32" t="s">
        <v>815</v>
      </c>
      <c r="B775" s="27">
        <v>45433</v>
      </c>
      <c r="C775" s="26" t="s">
        <v>22</v>
      </c>
      <c r="D775" s="26" t="s">
        <v>15</v>
      </c>
      <c r="E775" s="26" t="s">
        <v>27</v>
      </c>
      <c r="F775" s="28">
        <v>10448.98</v>
      </c>
      <c r="G775" s="33" t="s">
        <v>36</v>
      </c>
    </row>
    <row r="776" spans="1:7" x14ac:dyDescent="0.3">
      <c r="A776" s="32" t="s">
        <v>816</v>
      </c>
      <c r="B776" s="27">
        <v>45433</v>
      </c>
      <c r="C776" s="26" t="s">
        <v>22</v>
      </c>
      <c r="D776" s="26" t="s">
        <v>15</v>
      </c>
      <c r="E776" s="26" t="s">
        <v>29</v>
      </c>
      <c r="F776" s="28">
        <v>20337.689999999999</v>
      </c>
      <c r="G776" s="33" t="s">
        <v>34</v>
      </c>
    </row>
    <row r="777" spans="1:7" x14ac:dyDescent="0.3">
      <c r="A777" s="32" t="s">
        <v>817</v>
      </c>
      <c r="B777" s="27">
        <v>45433</v>
      </c>
      <c r="C777" s="26" t="s">
        <v>22</v>
      </c>
      <c r="D777" s="26" t="s">
        <v>14</v>
      </c>
      <c r="E777" s="26" t="s">
        <v>46</v>
      </c>
      <c r="F777" s="28">
        <v>28670.45</v>
      </c>
      <c r="G777" s="33" t="s">
        <v>35</v>
      </c>
    </row>
    <row r="778" spans="1:7" x14ac:dyDescent="0.3">
      <c r="A778" s="32" t="s">
        <v>818</v>
      </c>
      <c r="B778" s="27">
        <v>45433</v>
      </c>
      <c r="C778" s="26" t="s">
        <v>22</v>
      </c>
      <c r="D778" s="26" t="s">
        <v>14</v>
      </c>
      <c r="E778" s="26" t="s">
        <v>46</v>
      </c>
      <c r="F778" s="28">
        <v>15782.81</v>
      </c>
      <c r="G778" s="33" t="s">
        <v>34</v>
      </c>
    </row>
    <row r="779" spans="1:7" x14ac:dyDescent="0.3">
      <c r="A779" s="32" t="s">
        <v>819</v>
      </c>
      <c r="B779" s="27">
        <v>45433</v>
      </c>
      <c r="C779" s="26" t="s">
        <v>22</v>
      </c>
      <c r="D779" s="26" t="s">
        <v>15</v>
      </c>
      <c r="E779" s="26" t="s">
        <v>29</v>
      </c>
      <c r="F779" s="28">
        <v>11763.49</v>
      </c>
      <c r="G779" s="33" t="s">
        <v>34</v>
      </c>
    </row>
    <row r="780" spans="1:7" x14ac:dyDescent="0.3">
      <c r="A780" s="32" t="s">
        <v>820</v>
      </c>
      <c r="B780" s="27">
        <v>45434</v>
      </c>
      <c r="C780" s="26" t="s">
        <v>22</v>
      </c>
      <c r="D780" s="26" t="s">
        <v>15</v>
      </c>
      <c r="E780" s="26" t="s">
        <v>29</v>
      </c>
      <c r="F780" s="28">
        <v>11903.96</v>
      </c>
      <c r="G780" s="33" t="s">
        <v>34</v>
      </c>
    </row>
    <row r="781" spans="1:7" x14ac:dyDescent="0.3">
      <c r="A781" s="32" t="s">
        <v>821</v>
      </c>
      <c r="B781" s="27">
        <v>45434</v>
      </c>
      <c r="C781" s="26" t="s">
        <v>22</v>
      </c>
      <c r="D781" s="26" t="s">
        <v>15</v>
      </c>
      <c r="E781" s="26" t="s">
        <v>28</v>
      </c>
      <c r="F781" s="28">
        <v>24887.26</v>
      </c>
      <c r="G781" s="33" t="s">
        <v>34</v>
      </c>
    </row>
    <row r="782" spans="1:7" x14ac:dyDescent="0.3">
      <c r="A782" s="32" t="s">
        <v>822</v>
      </c>
      <c r="B782" s="27">
        <v>45434</v>
      </c>
      <c r="C782" s="26" t="s">
        <v>22</v>
      </c>
      <c r="D782" s="26" t="s">
        <v>15</v>
      </c>
      <c r="E782" s="26" t="s">
        <v>28</v>
      </c>
      <c r="F782" s="28">
        <v>6150.5</v>
      </c>
      <c r="G782" s="33" t="s">
        <v>36</v>
      </c>
    </row>
    <row r="783" spans="1:7" x14ac:dyDescent="0.3">
      <c r="A783" s="32" t="s">
        <v>823</v>
      </c>
      <c r="B783" s="27">
        <v>45434</v>
      </c>
      <c r="C783" s="26" t="s">
        <v>22</v>
      </c>
      <c r="D783" s="26" t="s">
        <v>15</v>
      </c>
      <c r="E783" s="26" t="s">
        <v>31</v>
      </c>
      <c r="F783" s="28">
        <v>8756.6299999999992</v>
      </c>
      <c r="G783" s="33" t="s">
        <v>34</v>
      </c>
    </row>
    <row r="784" spans="1:7" x14ac:dyDescent="0.3">
      <c r="A784" s="32" t="s">
        <v>824</v>
      </c>
      <c r="B784" s="27">
        <v>45434</v>
      </c>
      <c r="C784" s="26" t="s">
        <v>22</v>
      </c>
      <c r="D784" s="26" t="s">
        <v>14</v>
      </c>
      <c r="E784" s="26" t="s">
        <v>46</v>
      </c>
      <c r="F784" s="28">
        <v>17181.849999999999</v>
      </c>
      <c r="G784" s="33" t="s">
        <v>34</v>
      </c>
    </row>
    <row r="785" spans="1:7" x14ac:dyDescent="0.3">
      <c r="A785" s="32" t="s">
        <v>825</v>
      </c>
      <c r="B785" s="27">
        <v>45434</v>
      </c>
      <c r="C785" s="26" t="s">
        <v>22</v>
      </c>
      <c r="D785" s="26" t="s">
        <v>14</v>
      </c>
      <c r="E785" s="26" t="s">
        <v>46</v>
      </c>
      <c r="F785" s="28">
        <v>32954.39</v>
      </c>
      <c r="G785" s="33" t="s">
        <v>34</v>
      </c>
    </row>
    <row r="786" spans="1:7" x14ac:dyDescent="0.3">
      <c r="A786" s="32" t="s">
        <v>826</v>
      </c>
      <c r="B786" s="27">
        <v>45435</v>
      </c>
      <c r="C786" s="26" t="s">
        <v>22</v>
      </c>
      <c r="D786" s="26" t="s">
        <v>14</v>
      </c>
      <c r="E786" s="26" t="s">
        <v>46</v>
      </c>
      <c r="F786" s="28">
        <v>30694.799999999999</v>
      </c>
      <c r="G786" s="33" t="s">
        <v>34</v>
      </c>
    </row>
    <row r="787" spans="1:7" x14ac:dyDescent="0.3">
      <c r="A787" s="32" t="s">
        <v>827</v>
      </c>
      <c r="B787" s="27">
        <v>45435</v>
      </c>
      <c r="C787" s="26" t="s">
        <v>22</v>
      </c>
      <c r="D787" s="26" t="s">
        <v>15</v>
      </c>
      <c r="E787" s="26" t="s">
        <v>28</v>
      </c>
      <c r="F787" s="28">
        <v>12256.06</v>
      </c>
      <c r="G787" s="33" t="s">
        <v>34</v>
      </c>
    </row>
    <row r="788" spans="1:7" x14ac:dyDescent="0.3">
      <c r="A788" s="32" t="s">
        <v>828</v>
      </c>
      <c r="B788" s="27">
        <v>45435</v>
      </c>
      <c r="C788" s="26" t="s">
        <v>22</v>
      </c>
      <c r="D788" s="26" t="s">
        <v>15</v>
      </c>
      <c r="E788" s="26" t="s">
        <v>28</v>
      </c>
      <c r="F788" s="28">
        <v>18506.25</v>
      </c>
      <c r="G788" s="33" t="s">
        <v>34</v>
      </c>
    </row>
    <row r="789" spans="1:7" x14ac:dyDescent="0.3">
      <c r="A789" s="32" t="s">
        <v>829</v>
      </c>
      <c r="B789" s="27">
        <v>45435</v>
      </c>
      <c r="C789" s="26" t="s">
        <v>22</v>
      </c>
      <c r="D789" s="26" t="s">
        <v>15</v>
      </c>
      <c r="E789" s="26" t="s">
        <v>27</v>
      </c>
      <c r="F789" s="28">
        <v>5832.83</v>
      </c>
      <c r="G789" s="33" t="s">
        <v>35</v>
      </c>
    </row>
    <row r="790" spans="1:7" x14ac:dyDescent="0.3">
      <c r="A790" s="32" t="s">
        <v>830</v>
      </c>
      <c r="B790" s="27">
        <v>45435</v>
      </c>
      <c r="C790" s="26" t="s">
        <v>22</v>
      </c>
      <c r="D790" s="26" t="s">
        <v>15</v>
      </c>
      <c r="E790" s="26" t="s">
        <v>27</v>
      </c>
      <c r="F790" s="28">
        <v>12209.89</v>
      </c>
      <c r="G790" s="33" t="s">
        <v>34</v>
      </c>
    </row>
    <row r="791" spans="1:7" x14ac:dyDescent="0.3">
      <c r="A791" s="32" t="s">
        <v>831</v>
      </c>
      <c r="B791" s="27">
        <v>45436</v>
      </c>
      <c r="C791" s="26" t="s">
        <v>22</v>
      </c>
      <c r="D791" s="26" t="s">
        <v>15</v>
      </c>
      <c r="E791" s="26" t="s">
        <v>28</v>
      </c>
      <c r="F791" s="28">
        <v>12283.98</v>
      </c>
      <c r="G791" s="33" t="s">
        <v>34</v>
      </c>
    </row>
    <row r="792" spans="1:7" x14ac:dyDescent="0.3">
      <c r="A792" s="32" t="s">
        <v>832</v>
      </c>
      <c r="B792" s="27">
        <v>45436</v>
      </c>
      <c r="C792" s="26" t="s">
        <v>22</v>
      </c>
      <c r="D792" s="26" t="s">
        <v>14</v>
      </c>
      <c r="E792" s="26" t="s">
        <v>46</v>
      </c>
      <c r="F792" s="28">
        <v>60877.01</v>
      </c>
      <c r="G792" s="33" t="s">
        <v>36</v>
      </c>
    </row>
    <row r="793" spans="1:7" x14ac:dyDescent="0.3">
      <c r="A793" s="32" t="s">
        <v>833</v>
      </c>
      <c r="B793" s="27">
        <v>45436</v>
      </c>
      <c r="C793" s="26" t="s">
        <v>22</v>
      </c>
      <c r="D793" s="26" t="s">
        <v>15</v>
      </c>
      <c r="E793" s="26" t="s">
        <v>28</v>
      </c>
      <c r="F793" s="28">
        <v>22966.97</v>
      </c>
      <c r="G793" s="33" t="s">
        <v>34</v>
      </c>
    </row>
    <row r="794" spans="1:7" x14ac:dyDescent="0.3">
      <c r="A794" s="32" t="s">
        <v>834</v>
      </c>
      <c r="B794" s="27">
        <v>45436</v>
      </c>
      <c r="C794" s="26" t="s">
        <v>22</v>
      </c>
      <c r="D794" s="26" t="s">
        <v>15</v>
      </c>
      <c r="E794" s="26" t="s">
        <v>28</v>
      </c>
      <c r="F794" s="28">
        <v>16141.58</v>
      </c>
      <c r="G794" s="33" t="s">
        <v>36</v>
      </c>
    </row>
    <row r="795" spans="1:7" x14ac:dyDescent="0.3">
      <c r="A795" s="32" t="s">
        <v>835</v>
      </c>
      <c r="B795" s="27">
        <v>45436</v>
      </c>
      <c r="C795" s="26" t="s">
        <v>22</v>
      </c>
      <c r="D795" s="26" t="s">
        <v>15</v>
      </c>
      <c r="E795" s="26" t="s">
        <v>28</v>
      </c>
      <c r="F795" s="28">
        <v>12003.63</v>
      </c>
      <c r="G795" s="33" t="s">
        <v>34</v>
      </c>
    </row>
    <row r="796" spans="1:7" x14ac:dyDescent="0.3">
      <c r="A796" s="32" t="s">
        <v>836</v>
      </c>
      <c r="B796" s="27">
        <v>45436</v>
      </c>
      <c r="C796" s="26" t="s">
        <v>22</v>
      </c>
      <c r="D796" s="26" t="s">
        <v>14</v>
      </c>
      <c r="E796" s="26" t="s">
        <v>46</v>
      </c>
      <c r="F796" s="28">
        <v>54762.85</v>
      </c>
      <c r="G796" s="33" t="s">
        <v>35</v>
      </c>
    </row>
    <row r="797" spans="1:7" x14ac:dyDescent="0.3">
      <c r="A797" s="32" t="s">
        <v>837</v>
      </c>
      <c r="B797" s="27">
        <v>45437</v>
      </c>
      <c r="C797" s="26" t="s">
        <v>22</v>
      </c>
      <c r="D797" s="26" t="s">
        <v>15</v>
      </c>
      <c r="E797" s="26" t="s">
        <v>29</v>
      </c>
      <c r="F797" s="28">
        <v>20203.990000000002</v>
      </c>
      <c r="G797" s="33" t="s">
        <v>34</v>
      </c>
    </row>
    <row r="798" spans="1:7" x14ac:dyDescent="0.3">
      <c r="A798" s="32" t="s">
        <v>838</v>
      </c>
      <c r="B798" s="27">
        <v>45437</v>
      </c>
      <c r="C798" s="26" t="s">
        <v>22</v>
      </c>
      <c r="D798" s="26" t="s">
        <v>15</v>
      </c>
      <c r="E798" s="26" t="s">
        <v>30</v>
      </c>
      <c r="F798" s="28">
        <v>3319.24</v>
      </c>
      <c r="G798" s="33" t="s">
        <v>35</v>
      </c>
    </row>
    <row r="799" spans="1:7" x14ac:dyDescent="0.3">
      <c r="A799" s="32" t="s">
        <v>839</v>
      </c>
      <c r="B799" s="27">
        <v>45437</v>
      </c>
      <c r="C799" s="26" t="s">
        <v>22</v>
      </c>
      <c r="D799" s="26" t="s">
        <v>15</v>
      </c>
      <c r="E799" s="26" t="s">
        <v>30</v>
      </c>
      <c r="F799" s="28">
        <v>17437.23</v>
      </c>
      <c r="G799" s="33" t="s">
        <v>36</v>
      </c>
    </row>
    <row r="800" spans="1:7" x14ac:dyDescent="0.3">
      <c r="A800" s="32" t="s">
        <v>840</v>
      </c>
      <c r="B800" s="27">
        <v>45437</v>
      </c>
      <c r="C800" s="26" t="s">
        <v>22</v>
      </c>
      <c r="D800" s="26" t="s">
        <v>15</v>
      </c>
      <c r="E800" s="26" t="s">
        <v>29</v>
      </c>
      <c r="F800" s="28">
        <v>11342.84</v>
      </c>
      <c r="G800" s="33" t="s">
        <v>34</v>
      </c>
    </row>
    <row r="801" spans="1:7" x14ac:dyDescent="0.3">
      <c r="A801" s="32" t="s">
        <v>841</v>
      </c>
      <c r="B801" s="27">
        <v>45437</v>
      </c>
      <c r="C801" s="26" t="s">
        <v>22</v>
      </c>
      <c r="D801" s="26" t="s">
        <v>15</v>
      </c>
      <c r="E801" s="26" t="s">
        <v>31</v>
      </c>
      <c r="F801" s="28">
        <v>13800.98</v>
      </c>
      <c r="G801" s="33" t="s">
        <v>36</v>
      </c>
    </row>
    <row r="802" spans="1:7" x14ac:dyDescent="0.3">
      <c r="A802" s="32" t="s">
        <v>842</v>
      </c>
      <c r="B802" s="27">
        <v>45437</v>
      </c>
      <c r="C802" s="26" t="s">
        <v>22</v>
      </c>
      <c r="D802" s="26" t="s">
        <v>15</v>
      </c>
      <c r="E802" s="26" t="s">
        <v>27</v>
      </c>
      <c r="F802" s="28">
        <v>19247.650000000001</v>
      </c>
      <c r="G802" s="33" t="s">
        <v>34</v>
      </c>
    </row>
    <row r="803" spans="1:7" x14ac:dyDescent="0.3">
      <c r="A803" s="32" t="s">
        <v>843</v>
      </c>
      <c r="B803" s="27">
        <v>45438</v>
      </c>
      <c r="C803" s="26" t="s">
        <v>22</v>
      </c>
      <c r="D803" s="26" t="s">
        <v>14</v>
      </c>
      <c r="E803" s="26" t="s">
        <v>46</v>
      </c>
      <c r="F803" s="28">
        <v>21199.07</v>
      </c>
      <c r="G803" s="33" t="s">
        <v>34</v>
      </c>
    </row>
    <row r="804" spans="1:7" x14ac:dyDescent="0.3">
      <c r="A804" s="32" t="s">
        <v>844</v>
      </c>
      <c r="B804" s="27">
        <v>45438</v>
      </c>
      <c r="C804" s="26" t="s">
        <v>22</v>
      </c>
      <c r="D804" s="26" t="s">
        <v>15</v>
      </c>
      <c r="E804" s="26" t="s">
        <v>27</v>
      </c>
      <c r="F804" s="28">
        <v>2716.23</v>
      </c>
      <c r="G804" s="33" t="s">
        <v>34</v>
      </c>
    </row>
    <row r="805" spans="1:7" x14ac:dyDescent="0.3">
      <c r="A805" s="32" t="s">
        <v>845</v>
      </c>
      <c r="B805" s="27">
        <v>45439</v>
      </c>
      <c r="C805" s="26" t="s">
        <v>22</v>
      </c>
      <c r="D805" s="26" t="s">
        <v>15</v>
      </c>
      <c r="E805" s="26" t="s">
        <v>27</v>
      </c>
      <c r="F805" s="28">
        <v>21519.39</v>
      </c>
      <c r="G805" s="33" t="s">
        <v>34</v>
      </c>
    </row>
    <row r="806" spans="1:7" x14ac:dyDescent="0.3">
      <c r="A806" s="32" t="s">
        <v>846</v>
      </c>
      <c r="B806" s="27">
        <v>45439</v>
      </c>
      <c r="C806" s="26" t="s">
        <v>22</v>
      </c>
      <c r="D806" s="26" t="s">
        <v>15</v>
      </c>
      <c r="E806" s="26" t="s">
        <v>29</v>
      </c>
      <c r="F806" s="28">
        <v>17596.04</v>
      </c>
      <c r="G806" s="33" t="s">
        <v>34</v>
      </c>
    </row>
    <row r="807" spans="1:7" x14ac:dyDescent="0.3">
      <c r="A807" s="32" t="s">
        <v>847</v>
      </c>
      <c r="B807" s="27">
        <v>45439</v>
      </c>
      <c r="C807" s="26" t="s">
        <v>22</v>
      </c>
      <c r="D807" s="26" t="s">
        <v>15</v>
      </c>
      <c r="E807" s="26" t="s">
        <v>31</v>
      </c>
      <c r="F807" s="28">
        <v>12077.97</v>
      </c>
      <c r="G807" s="33" t="s">
        <v>34</v>
      </c>
    </row>
    <row r="808" spans="1:7" x14ac:dyDescent="0.3">
      <c r="A808" s="32" t="s">
        <v>848</v>
      </c>
      <c r="B808" s="27">
        <v>45439</v>
      </c>
      <c r="C808" s="26" t="s">
        <v>22</v>
      </c>
      <c r="D808" s="26" t="s">
        <v>15</v>
      </c>
      <c r="E808" s="26" t="s">
        <v>27</v>
      </c>
      <c r="F808" s="28">
        <v>4903.29</v>
      </c>
      <c r="G808" s="33" t="s">
        <v>34</v>
      </c>
    </row>
    <row r="809" spans="1:7" x14ac:dyDescent="0.3">
      <c r="A809" s="32" t="s">
        <v>849</v>
      </c>
      <c r="B809" s="27">
        <v>45439</v>
      </c>
      <c r="C809" s="26" t="s">
        <v>22</v>
      </c>
      <c r="D809" s="26" t="s">
        <v>15</v>
      </c>
      <c r="E809" s="26" t="s">
        <v>31</v>
      </c>
      <c r="F809" s="28">
        <v>7427.89</v>
      </c>
      <c r="G809" s="33" t="s">
        <v>35</v>
      </c>
    </row>
    <row r="810" spans="1:7" x14ac:dyDescent="0.3">
      <c r="A810" s="32" t="s">
        <v>850</v>
      </c>
      <c r="B810" s="27">
        <v>45439</v>
      </c>
      <c r="C810" s="26" t="s">
        <v>22</v>
      </c>
      <c r="D810" s="26" t="s">
        <v>15</v>
      </c>
      <c r="E810" s="26" t="s">
        <v>27</v>
      </c>
      <c r="F810" s="28">
        <v>16838.75</v>
      </c>
      <c r="G810" s="33" t="s">
        <v>35</v>
      </c>
    </row>
    <row r="811" spans="1:7" x14ac:dyDescent="0.3">
      <c r="A811" s="32" t="s">
        <v>851</v>
      </c>
      <c r="B811" s="27">
        <v>45439</v>
      </c>
      <c r="C811" s="26" t="s">
        <v>22</v>
      </c>
      <c r="D811" s="26" t="s">
        <v>14</v>
      </c>
      <c r="E811" s="26" t="s">
        <v>46</v>
      </c>
      <c r="F811" s="28">
        <v>35350.54</v>
      </c>
      <c r="G811" s="33" t="s">
        <v>34</v>
      </c>
    </row>
    <row r="812" spans="1:7" x14ac:dyDescent="0.3">
      <c r="A812" s="32" t="s">
        <v>852</v>
      </c>
      <c r="B812" s="27">
        <v>45440</v>
      </c>
      <c r="C812" s="26" t="s">
        <v>22</v>
      </c>
      <c r="D812" s="26" t="s">
        <v>15</v>
      </c>
      <c r="E812" s="26" t="s">
        <v>31</v>
      </c>
      <c r="F812" s="28">
        <v>23837.74</v>
      </c>
      <c r="G812" s="33" t="s">
        <v>34</v>
      </c>
    </row>
    <row r="813" spans="1:7" x14ac:dyDescent="0.3">
      <c r="A813" s="32" t="s">
        <v>853</v>
      </c>
      <c r="B813" s="27">
        <v>45440</v>
      </c>
      <c r="C813" s="26" t="s">
        <v>22</v>
      </c>
      <c r="D813" s="26" t="s">
        <v>15</v>
      </c>
      <c r="E813" s="26" t="s">
        <v>28</v>
      </c>
      <c r="F813" s="28">
        <v>2744.86</v>
      </c>
      <c r="G813" s="33" t="s">
        <v>34</v>
      </c>
    </row>
    <row r="814" spans="1:7" x14ac:dyDescent="0.3">
      <c r="A814" s="32" t="s">
        <v>854</v>
      </c>
      <c r="B814" s="27">
        <v>45440</v>
      </c>
      <c r="C814" s="26" t="s">
        <v>22</v>
      </c>
      <c r="D814" s="26" t="s">
        <v>14</v>
      </c>
      <c r="E814" s="26" t="s">
        <v>46</v>
      </c>
      <c r="F814" s="28">
        <v>20740.669999999998</v>
      </c>
      <c r="G814" s="33" t="s">
        <v>34</v>
      </c>
    </row>
    <row r="815" spans="1:7" x14ac:dyDescent="0.3">
      <c r="A815" s="32" t="s">
        <v>855</v>
      </c>
      <c r="B815" s="27">
        <v>45440</v>
      </c>
      <c r="C815" s="26" t="s">
        <v>22</v>
      </c>
      <c r="D815" s="26" t="s">
        <v>15</v>
      </c>
      <c r="E815" s="26" t="s">
        <v>27</v>
      </c>
      <c r="F815" s="28">
        <v>12348.22</v>
      </c>
      <c r="G815" s="33" t="s">
        <v>34</v>
      </c>
    </row>
    <row r="816" spans="1:7" x14ac:dyDescent="0.3">
      <c r="A816" s="32" t="s">
        <v>856</v>
      </c>
      <c r="B816" s="27">
        <v>45440</v>
      </c>
      <c r="C816" s="26" t="s">
        <v>22</v>
      </c>
      <c r="D816" s="26" t="s">
        <v>15</v>
      </c>
      <c r="E816" s="26" t="s">
        <v>28</v>
      </c>
      <c r="F816" s="28">
        <v>10532.18</v>
      </c>
      <c r="G816" s="33" t="s">
        <v>34</v>
      </c>
    </row>
    <row r="817" spans="1:7" x14ac:dyDescent="0.3">
      <c r="A817" s="32" t="s">
        <v>857</v>
      </c>
      <c r="B817" s="27">
        <v>45440</v>
      </c>
      <c r="C817" s="26" t="s">
        <v>22</v>
      </c>
      <c r="D817" s="26" t="s">
        <v>15</v>
      </c>
      <c r="E817" s="26" t="s">
        <v>27</v>
      </c>
      <c r="F817" s="28">
        <v>12210.6</v>
      </c>
      <c r="G817" s="33" t="s">
        <v>34</v>
      </c>
    </row>
    <row r="818" spans="1:7" x14ac:dyDescent="0.3">
      <c r="A818" s="32" t="s">
        <v>858</v>
      </c>
      <c r="B818" s="27">
        <v>45441</v>
      </c>
      <c r="C818" s="26" t="s">
        <v>22</v>
      </c>
      <c r="D818" s="26" t="s">
        <v>15</v>
      </c>
      <c r="E818" s="26" t="s">
        <v>27</v>
      </c>
      <c r="F818" s="28">
        <v>3768.36</v>
      </c>
      <c r="G818" s="33" t="s">
        <v>36</v>
      </c>
    </row>
    <row r="819" spans="1:7" x14ac:dyDescent="0.3">
      <c r="A819" s="32" t="s">
        <v>859</v>
      </c>
      <c r="B819" s="27">
        <v>45441</v>
      </c>
      <c r="C819" s="26" t="s">
        <v>22</v>
      </c>
      <c r="D819" s="26" t="s">
        <v>15</v>
      </c>
      <c r="E819" s="26" t="s">
        <v>27</v>
      </c>
      <c r="F819" s="28">
        <v>5166.99</v>
      </c>
      <c r="G819" s="33" t="s">
        <v>34</v>
      </c>
    </row>
    <row r="820" spans="1:7" x14ac:dyDescent="0.3">
      <c r="A820" s="32" t="s">
        <v>860</v>
      </c>
      <c r="B820" s="27">
        <v>45441</v>
      </c>
      <c r="C820" s="26" t="s">
        <v>22</v>
      </c>
      <c r="D820" s="26" t="s">
        <v>14</v>
      </c>
      <c r="E820" s="26" t="s">
        <v>46</v>
      </c>
      <c r="F820" s="28">
        <v>35686.5</v>
      </c>
      <c r="G820" s="33" t="s">
        <v>34</v>
      </c>
    </row>
    <row r="821" spans="1:7" x14ac:dyDescent="0.3">
      <c r="A821" s="32" t="s">
        <v>861</v>
      </c>
      <c r="B821" s="27">
        <v>45441</v>
      </c>
      <c r="C821" s="26" t="s">
        <v>22</v>
      </c>
      <c r="D821" s="26" t="s">
        <v>14</v>
      </c>
      <c r="E821" s="26" t="s">
        <v>46</v>
      </c>
      <c r="F821" s="28">
        <v>32006.98</v>
      </c>
      <c r="G821" s="33" t="s">
        <v>34</v>
      </c>
    </row>
    <row r="822" spans="1:7" x14ac:dyDescent="0.3">
      <c r="A822" s="32" t="s">
        <v>862</v>
      </c>
      <c r="B822" s="27">
        <v>45441</v>
      </c>
      <c r="C822" s="26" t="s">
        <v>22</v>
      </c>
      <c r="D822" s="26" t="s">
        <v>15</v>
      </c>
      <c r="E822" s="26" t="s">
        <v>30</v>
      </c>
      <c r="F822" s="28">
        <v>8409.86</v>
      </c>
      <c r="G822" s="33" t="s">
        <v>34</v>
      </c>
    </row>
    <row r="823" spans="1:7" x14ac:dyDescent="0.3">
      <c r="A823" s="32" t="s">
        <v>863</v>
      </c>
      <c r="B823" s="27">
        <v>45441</v>
      </c>
      <c r="C823" s="26" t="s">
        <v>22</v>
      </c>
      <c r="D823" s="26" t="s">
        <v>14</v>
      </c>
      <c r="E823" s="26" t="s">
        <v>46</v>
      </c>
      <c r="F823" s="28">
        <v>77236.399999999994</v>
      </c>
      <c r="G823" s="33" t="s">
        <v>34</v>
      </c>
    </row>
    <row r="824" spans="1:7" x14ac:dyDescent="0.3">
      <c r="A824" s="32" t="s">
        <v>864</v>
      </c>
      <c r="B824" s="27">
        <v>45442</v>
      </c>
      <c r="C824" s="26" t="s">
        <v>22</v>
      </c>
      <c r="D824" s="26" t="s">
        <v>14</v>
      </c>
      <c r="E824" s="26" t="s">
        <v>46</v>
      </c>
      <c r="F824" s="28">
        <v>11813.93</v>
      </c>
      <c r="G824" s="33" t="s">
        <v>34</v>
      </c>
    </row>
    <row r="825" spans="1:7" x14ac:dyDescent="0.3">
      <c r="A825" s="32" t="s">
        <v>865</v>
      </c>
      <c r="B825" s="27">
        <v>45442</v>
      </c>
      <c r="C825" s="26" t="s">
        <v>22</v>
      </c>
      <c r="D825" s="26" t="s">
        <v>15</v>
      </c>
      <c r="E825" s="26" t="s">
        <v>28</v>
      </c>
      <c r="F825" s="28">
        <v>6279.11</v>
      </c>
      <c r="G825" s="33" t="s">
        <v>34</v>
      </c>
    </row>
    <row r="826" spans="1:7" x14ac:dyDescent="0.3">
      <c r="A826" s="32" t="s">
        <v>866</v>
      </c>
      <c r="B826" s="27">
        <v>45442</v>
      </c>
      <c r="C826" s="26" t="s">
        <v>22</v>
      </c>
      <c r="D826" s="26" t="s">
        <v>15</v>
      </c>
      <c r="E826" s="26" t="s">
        <v>27</v>
      </c>
      <c r="F826" s="28">
        <v>13908.14</v>
      </c>
      <c r="G826" s="33" t="s">
        <v>34</v>
      </c>
    </row>
    <row r="827" spans="1:7" x14ac:dyDescent="0.3">
      <c r="A827" s="32" t="s">
        <v>867</v>
      </c>
      <c r="B827" s="27">
        <v>45442</v>
      </c>
      <c r="C827" s="26" t="s">
        <v>22</v>
      </c>
      <c r="D827" s="26" t="s">
        <v>15</v>
      </c>
      <c r="E827" s="26" t="s">
        <v>29</v>
      </c>
      <c r="F827" s="28">
        <v>23011.48</v>
      </c>
      <c r="G827" s="33" t="s">
        <v>36</v>
      </c>
    </row>
    <row r="828" spans="1:7" x14ac:dyDescent="0.3">
      <c r="A828" s="32" t="s">
        <v>868</v>
      </c>
      <c r="B828" s="27">
        <v>45442</v>
      </c>
      <c r="C828" s="26" t="s">
        <v>22</v>
      </c>
      <c r="D828" s="26" t="s">
        <v>14</v>
      </c>
      <c r="E828" s="26" t="s">
        <v>46</v>
      </c>
      <c r="F828" s="28">
        <v>18243.27</v>
      </c>
      <c r="G828" s="33" t="s">
        <v>35</v>
      </c>
    </row>
    <row r="829" spans="1:7" x14ac:dyDescent="0.3">
      <c r="A829" s="32" t="s">
        <v>869</v>
      </c>
      <c r="B829" s="27">
        <v>45442</v>
      </c>
      <c r="C829" s="26" t="s">
        <v>22</v>
      </c>
      <c r="D829" s="26" t="s">
        <v>14</v>
      </c>
      <c r="E829" s="26" t="s">
        <v>46</v>
      </c>
      <c r="F829" s="28">
        <v>64247.51</v>
      </c>
      <c r="G829" s="33" t="s">
        <v>34</v>
      </c>
    </row>
    <row r="830" spans="1:7" x14ac:dyDescent="0.3">
      <c r="A830" s="32" t="s">
        <v>870</v>
      </c>
      <c r="B830" s="27">
        <v>45443</v>
      </c>
      <c r="C830" s="26" t="s">
        <v>22</v>
      </c>
      <c r="D830" s="26" t="s">
        <v>15</v>
      </c>
      <c r="E830" s="26" t="s">
        <v>29</v>
      </c>
      <c r="F830" s="28">
        <v>18192.87</v>
      </c>
      <c r="G830" s="33" t="s">
        <v>34</v>
      </c>
    </row>
    <row r="831" spans="1:7" x14ac:dyDescent="0.3">
      <c r="A831" s="32" t="s">
        <v>871</v>
      </c>
      <c r="B831" s="27">
        <v>45443</v>
      </c>
      <c r="C831" s="26" t="s">
        <v>22</v>
      </c>
      <c r="D831" s="26" t="s">
        <v>15</v>
      </c>
      <c r="E831" s="26" t="s">
        <v>27</v>
      </c>
      <c r="F831" s="28">
        <v>6935.12</v>
      </c>
      <c r="G831" s="33" t="s">
        <v>34</v>
      </c>
    </row>
    <row r="832" spans="1:7" x14ac:dyDescent="0.3">
      <c r="A832" s="32" t="s">
        <v>872</v>
      </c>
      <c r="B832" s="27">
        <v>45443</v>
      </c>
      <c r="C832" s="26" t="s">
        <v>22</v>
      </c>
      <c r="D832" s="26" t="s">
        <v>14</v>
      </c>
      <c r="E832" s="26" t="s">
        <v>46</v>
      </c>
      <c r="F832" s="28">
        <v>52831.4</v>
      </c>
      <c r="G832" s="33" t="s">
        <v>34</v>
      </c>
    </row>
    <row r="833" spans="1:7" x14ac:dyDescent="0.3">
      <c r="A833" s="32" t="s">
        <v>873</v>
      </c>
      <c r="B833" s="27">
        <v>45443</v>
      </c>
      <c r="C833" s="26" t="s">
        <v>22</v>
      </c>
      <c r="D833" s="26" t="s">
        <v>15</v>
      </c>
      <c r="E833" s="26" t="s">
        <v>28</v>
      </c>
      <c r="F833" s="28">
        <v>17961.55</v>
      </c>
      <c r="G833" s="33" t="s">
        <v>34</v>
      </c>
    </row>
    <row r="834" spans="1:7" x14ac:dyDescent="0.3">
      <c r="A834" s="32" t="s">
        <v>874</v>
      </c>
      <c r="B834" s="27">
        <v>45444</v>
      </c>
      <c r="C834" s="26" t="s">
        <v>23</v>
      </c>
      <c r="D834" s="26" t="s">
        <v>14</v>
      </c>
      <c r="E834" s="26" t="s">
        <v>46</v>
      </c>
      <c r="F834" s="28">
        <v>79904.02</v>
      </c>
      <c r="G834" s="33" t="s">
        <v>34</v>
      </c>
    </row>
    <row r="835" spans="1:7" x14ac:dyDescent="0.3">
      <c r="A835" s="32" t="s">
        <v>875</v>
      </c>
      <c r="B835" s="27">
        <v>45444</v>
      </c>
      <c r="C835" s="26" t="s">
        <v>23</v>
      </c>
      <c r="D835" s="26" t="s">
        <v>14</v>
      </c>
      <c r="E835" s="26" t="s">
        <v>46</v>
      </c>
      <c r="F835" s="28">
        <v>24012.48</v>
      </c>
      <c r="G835" s="33" t="s">
        <v>34</v>
      </c>
    </row>
    <row r="836" spans="1:7" x14ac:dyDescent="0.3">
      <c r="A836" s="32" t="s">
        <v>876</v>
      </c>
      <c r="B836" s="27">
        <v>45444</v>
      </c>
      <c r="C836" s="26" t="s">
        <v>23</v>
      </c>
      <c r="D836" s="26" t="s">
        <v>15</v>
      </c>
      <c r="E836" s="26" t="s">
        <v>27</v>
      </c>
      <c r="F836" s="28">
        <v>5121.75</v>
      </c>
      <c r="G836" s="33" t="s">
        <v>34</v>
      </c>
    </row>
    <row r="837" spans="1:7" x14ac:dyDescent="0.3">
      <c r="A837" s="32" t="s">
        <v>877</v>
      </c>
      <c r="B837" s="27">
        <v>45444</v>
      </c>
      <c r="C837" s="26" t="s">
        <v>23</v>
      </c>
      <c r="D837" s="26" t="s">
        <v>15</v>
      </c>
      <c r="E837" s="26" t="s">
        <v>27</v>
      </c>
      <c r="F837" s="28">
        <v>3703.2</v>
      </c>
      <c r="G837" s="33" t="s">
        <v>34</v>
      </c>
    </row>
    <row r="838" spans="1:7" x14ac:dyDescent="0.3">
      <c r="A838" s="32" t="s">
        <v>878</v>
      </c>
      <c r="B838" s="27">
        <v>45444</v>
      </c>
      <c r="C838" s="26" t="s">
        <v>23</v>
      </c>
      <c r="D838" s="26" t="s">
        <v>15</v>
      </c>
      <c r="E838" s="26" t="s">
        <v>29</v>
      </c>
      <c r="F838" s="28">
        <v>5971.1</v>
      </c>
      <c r="G838" s="33" t="s">
        <v>36</v>
      </c>
    </row>
    <row r="839" spans="1:7" x14ac:dyDescent="0.3">
      <c r="A839" s="32" t="s">
        <v>879</v>
      </c>
      <c r="B839" s="27">
        <v>45444</v>
      </c>
      <c r="C839" s="26" t="s">
        <v>23</v>
      </c>
      <c r="D839" s="26" t="s">
        <v>15</v>
      </c>
      <c r="E839" s="26" t="s">
        <v>27</v>
      </c>
      <c r="F839" s="28">
        <v>18407.509999999998</v>
      </c>
      <c r="G839" s="33" t="s">
        <v>36</v>
      </c>
    </row>
    <row r="840" spans="1:7" x14ac:dyDescent="0.3">
      <c r="A840" s="32" t="s">
        <v>880</v>
      </c>
      <c r="B840" s="27">
        <v>45444</v>
      </c>
      <c r="C840" s="26" t="s">
        <v>23</v>
      </c>
      <c r="D840" s="26" t="s">
        <v>15</v>
      </c>
      <c r="E840" s="26" t="s">
        <v>28</v>
      </c>
      <c r="F840" s="28">
        <v>24937.040000000001</v>
      </c>
      <c r="G840" s="33" t="s">
        <v>35</v>
      </c>
    </row>
    <row r="841" spans="1:7" x14ac:dyDescent="0.3">
      <c r="A841" s="32" t="s">
        <v>881</v>
      </c>
      <c r="B841" s="27">
        <v>45444</v>
      </c>
      <c r="C841" s="26" t="s">
        <v>23</v>
      </c>
      <c r="D841" s="26" t="s">
        <v>15</v>
      </c>
      <c r="E841" s="26" t="s">
        <v>29</v>
      </c>
      <c r="F841" s="28">
        <v>20641.8</v>
      </c>
      <c r="G841" s="33" t="s">
        <v>34</v>
      </c>
    </row>
    <row r="842" spans="1:7" x14ac:dyDescent="0.3">
      <c r="A842" s="32" t="s">
        <v>882</v>
      </c>
      <c r="B842" s="27">
        <v>45444</v>
      </c>
      <c r="C842" s="26" t="s">
        <v>23</v>
      </c>
      <c r="D842" s="26" t="s">
        <v>14</v>
      </c>
      <c r="E842" s="26" t="s">
        <v>46</v>
      </c>
      <c r="F842" s="28">
        <v>77729.289999999994</v>
      </c>
      <c r="G842" s="33" t="s">
        <v>35</v>
      </c>
    </row>
    <row r="843" spans="1:7" x14ac:dyDescent="0.3">
      <c r="A843" s="32" t="s">
        <v>883</v>
      </c>
      <c r="B843" s="27">
        <v>45444</v>
      </c>
      <c r="C843" s="26" t="s">
        <v>23</v>
      </c>
      <c r="D843" s="26" t="s">
        <v>15</v>
      </c>
      <c r="E843" s="26" t="s">
        <v>27</v>
      </c>
      <c r="F843" s="28">
        <v>24691.22</v>
      </c>
      <c r="G843" s="33" t="s">
        <v>34</v>
      </c>
    </row>
    <row r="844" spans="1:7" x14ac:dyDescent="0.3">
      <c r="A844" s="32" t="s">
        <v>884</v>
      </c>
      <c r="B844" s="27">
        <v>45445</v>
      </c>
      <c r="C844" s="26" t="s">
        <v>23</v>
      </c>
      <c r="D844" s="26" t="s">
        <v>14</v>
      </c>
      <c r="E844" s="26" t="s">
        <v>46</v>
      </c>
      <c r="F844" s="28">
        <v>56748.79</v>
      </c>
      <c r="G844" s="33" t="s">
        <v>35</v>
      </c>
    </row>
    <row r="845" spans="1:7" x14ac:dyDescent="0.3">
      <c r="A845" s="32" t="s">
        <v>885</v>
      </c>
      <c r="B845" s="27">
        <v>45445</v>
      </c>
      <c r="C845" s="26" t="s">
        <v>23</v>
      </c>
      <c r="D845" s="26" t="s">
        <v>15</v>
      </c>
      <c r="E845" s="26" t="s">
        <v>28</v>
      </c>
      <c r="F845" s="28">
        <v>18319.43</v>
      </c>
      <c r="G845" s="33" t="s">
        <v>34</v>
      </c>
    </row>
    <row r="846" spans="1:7" x14ac:dyDescent="0.3">
      <c r="A846" s="32" t="s">
        <v>886</v>
      </c>
      <c r="B846" s="27">
        <v>45446</v>
      </c>
      <c r="C846" s="26" t="s">
        <v>23</v>
      </c>
      <c r="D846" s="26" t="s">
        <v>14</v>
      </c>
      <c r="E846" s="26" t="s">
        <v>46</v>
      </c>
      <c r="F846" s="28">
        <v>48499.8</v>
      </c>
      <c r="G846" s="33" t="s">
        <v>35</v>
      </c>
    </row>
    <row r="847" spans="1:7" x14ac:dyDescent="0.3">
      <c r="A847" s="32" t="s">
        <v>887</v>
      </c>
      <c r="B847" s="27">
        <v>45446</v>
      </c>
      <c r="C847" s="26" t="s">
        <v>23</v>
      </c>
      <c r="D847" s="26" t="s">
        <v>15</v>
      </c>
      <c r="E847" s="26" t="s">
        <v>27</v>
      </c>
      <c r="F847" s="28">
        <v>8678.33</v>
      </c>
      <c r="G847" s="33" t="s">
        <v>34</v>
      </c>
    </row>
    <row r="848" spans="1:7" x14ac:dyDescent="0.3">
      <c r="A848" s="32" t="s">
        <v>888</v>
      </c>
      <c r="B848" s="27">
        <v>45446</v>
      </c>
      <c r="C848" s="26" t="s">
        <v>23</v>
      </c>
      <c r="D848" s="26" t="s">
        <v>14</v>
      </c>
      <c r="E848" s="26" t="s">
        <v>46</v>
      </c>
      <c r="F848" s="28">
        <v>30996.97</v>
      </c>
      <c r="G848" s="33" t="s">
        <v>35</v>
      </c>
    </row>
    <row r="849" spans="1:7" x14ac:dyDescent="0.3">
      <c r="A849" s="32" t="s">
        <v>889</v>
      </c>
      <c r="B849" s="27">
        <v>45446</v>
      </c>
      <c r="C849" s="26" t="s">
        <v>23</v>
      </c>
      <c r="D849" s="26" t="s">
        <v>15</v>
      </c>
      <c r="E849" s="26" t="s">
        <v>31</v>
      </c>
      <c r="F849" s="28">
        <v>5622.62</v>
      </c>
      <c r="G849" s="33" t="s">
        <v>36</v>
      </c>
    </row>
    <row r="850" spans="1:7" x14ac:dyDescent="0.3">
      <c r="A850" s="32" t="s">
        <v>890</v>
      </c>
      <c r="B850" s="27">
        <v>45447</v>
      </c>
      <c r="C850" s="26" t="s">
        <v>23</v>
      </c>
      <c r="D850" s="26" t="s">
        <v>15</v>
      </c>
      <c r="E850" s="26" t="s">
        <v>28</v>
      </c>
      <c r="F850" s="28">
        <v>18319.97</v>
      </c>
      <c r="G850" s="33" t="s">
        <v>34</v>
      </c>
    </row>
    <row r="851" spans="1:7" x14ac:dyDescent="0.3">
      <c r="A851" s="32" t="s">
        <v>891</v>
      </c>
      <c r="B851" s="27">
        <v>45447</v>
      </c>
      <c r="C851" s="26" t="s">
        <v>23</v>
      </c>
      <c r="D851" s="26" t="s">
        <v>15</v>
      </c>
      <c r="E851" s="26" t="s">
        <v>30</v>
      </c>
      <c r="F851" s="28">
        <v>18105.04</v>
      </c>
      <c r="G851" s="33" t="s">
        <v>34</v>
      </c>
    </row>
    <row r="852" spans="1:7" x14ac:dyDescent="0.3">
      <c r="A852" s="32" t="s">
        <v>892</v>
      </c>
      <c r="B852" s="27">
        <v>45447</v>
      </c>
      <c r="C852" s="26" t="s">
        <v>23</v>
      </c>
      <c r="D852" s="26" t="s">
        <v>14</v>
      </c>
      <c r="E852" s="26" t="s">
        <v>46</v>
      </c>
      <c r="F852" s="28">
        <v>22186.37</v>
      </c>
      <c r="G852" s="33" t="s">
        <v>36</v>
      </c>
    </row>
    <row r="853" spans="1:7" x14ac:dyDescent="0.3">
      <c r="A853" s="32" t="s">
        <v>893</v>
      </c>
      <c r="B853" s="27">
        <v>45447</v>
      </c>
      <c r="C853" s="26" t="s">
        <v>23</v>
      </c>
      <c r="D853" s="26" t="s">
        <v>15</v>
      </c>
      <c r="E853" s="26" t="s">
        <v>28</v>
      </c>
      <c r="F853" s="28">
        <v>10314.32</v>
      </c>
      <c r="G853" s="33" t="s">
        <v>34</v>
      </c>
    </row>
    <row r="854" spans="1:7" x14ac:dyDescent="0.3">
      <c r="A854" s="32" t="s">
        <v>894</v>
      </c>
      <c r="B854" s="27">
        <v>45447</v>
      </c>
      <c r="C854" s="26" t="s">
        <v>23</v>
      </c>
      <c r="D854" s="26" t="s">
        <v>14</v>
      </c>
      <c r="E854" s="26" t="s">
        <v>46</v>
      </c>
      <c r="F854" s="28">
        <v>25696.91</v>
      </c>
      <c r="G854" s="33" t="s">
        <v>35</v>
      </c>
    </row>
    <row r="855" spans="1:7" x14ac:dyDescent="0.3">
      <c r="A855" s="32" t="s">
        <v>895</v>
      </c>
      <c r="B855" s="27">
        <v>45447</v>
      </c>
      <c r="C855" s="26" t="s">
        <v>23</v>
      </c>
      <c r="D855" s="26" t="s">
        <v>15</v>
      </c>
      <c r="E855" s="26" t="s">
        <v>27</v>
      </c>
      <c r="F855" s="28">
        <v>24658.05</v>
      </c>
      <c r="G855" s="33" t="s">
        <v>34</v>
      </c>
    </row>
    <row r="856" spans="1:7" x14ac:dyDescent="0.3">
      <c r="A856" s="32" t="s">
        <v>896</v>
      </c>
      <c r="B856" s="27">
        <v>45447</v>
      </c>
      <c r="C856" s="26" t="s">
        <v>23</v>
      </c>
      <c r="D856" s="26" t="s">
        <v>14</v>
      </c>
      <c r="E856" s="26" t="s">
        <v>46</v>
      </c>
      <c r="F856" s="28">
        <v>65444.6</v>
      </c>
      <c r="G856" s="33" t="s">
        <v>34</v>
      </c>
    </row>
    <row r="857" spans="1:7" x14ac:dyDescent="0.3">
      <c r="A857" s="32" t="s">
        <v>897</v>
      </c>
      <c r="B857" s="27">
        <v>45447</v>
      </c>
      <c r="C857" s="26" t="s">
        <v>23</v>
      </c>
      <c r="D857" s="26" t="s">
        <v>14</v>
      </c>
      <c r="E857" s="26" t="s">
        <v>46</v>
      </c>
      <c r="F857" s="28">
        <v>26571.53</v>
      </c>
      <c r="G857" s="33" t="s">
        <v>34</v>
      </c>
    </row>
    <row r="858" spans="1:7" x14ac:dyDescent="0.3">
      <c r="A858" s="32" t="s">
        <v>898</v>
      </c>
      <c r="B858" s="27">
        <v>45448</v>
      </c>
      <c r="C858" s="26" t="s">
        <v>23</v>
      </c>
      <c r="D858" s="26" t="s">
        <v>14</v>
      </c>
      <c r="E858" s="26" t="s">
        <v>46</v>
      </c>
      <c r="F858" s="28">
        <v>44581.54</v>
      </c>
      <c r="G858" s="33" t="s">
        <v>34</v>
      </c>
    </row>
    <row r="859" spans="1:7" x14ac:dyDescent="0.3">
      <c r="A859" s="32" t="s">
        <v>899</v>
      </c>
      <c r="B859" s="27">
        <v>45448</v>
      </c>
      <c r="C859" s="26" t="s">
        <v>23</v>
      </c>
      <c r="D859" s="26" t="s">
        <v>15</v>
      </c>
      <c r="E859" s="26" t="s">
        <v>29</v>
      </c>
      <c r="F859" s="28">
        <v>10300.620000000001</v>
      </c>
      <c r="G859" s="33" t="s">
        <v>35</v>
      </c>
    </row>
    <row r="860" spans="1:7" x14ac:dyDescent="0.3">
      <c r="A860" s="32" t="s">
        <v>900</v>
      </c>
      <c r="B860" s="27">
        <v>45448</v>
      </c>
      <c r="C860" s="26" t="s">
        <v>23</v>
      </c>
      <c r="D860" s="26" t="s">
        <v>15</v>
      </c>
      <c r="E860" s="26" t="s">
        <v>31</v>
      </c>
      <c r="F860" s="28">
        <v>15162.38</v>
      </c>
      <c r="G860" s="33" t="s">
        <v>34</v>
      </c>
    </row>
    <row r="861" spans="1:7" x14ac:dyDescent="0.3">
      <c r="A861" s="32" t="s">
        <v>901</v>
      </c>
      <c r="B861" s="27">
        <v>45448</v>
      </c>
      <c r="C861" s="26" t="s">
        <v>23</v>
      </c>
      <c r="D861" s="26" t="s">
        <v>14</v>
      </c>
      <c r="E861" s="26" t="s">
        <v>46</v>
      </c>
      <c r="F861" s="28">
        <v>42718.41</v>
      </c>
      <c r="G861" s="33" t="s">
        <v>34</v>
      </c>
    </row>
    <row r="862" spans="1:7" x14ac:dyDescent="0.3">
      <c r="A862" s="32" t="s">
        <v>902</v>
      </c>
      <c r="B862" s="27">
        <v>45448</v>
      </c>
      <c r="C862" s="26" t="s">
        <v>23</v>
      </c>
      <c r="D862" s="26" t="s">
        <v>15</v>
      </c>
      <c r="E862" s="26" t="s">
        <v>29</v>
      </c>
      <c r="F862" s="28">
        <v>24609.279999999999</v>
      </c>
      <c r="G862" s="33" t="s">
        <v>34</v>
      </c>
    </row>
    <row r="863" spans="1:7" x14ac:dyDescent="0.3">
      <c r="A863" s="32" t="s">
        <v>903</v>
      </c>
      <c r="B863" s="27">
        <v>45449</v>
      </c>
      <c r="C863" s="26" t="s">
        <v>23</v>
      </c>
      <c r="D863" s="26" t="s">
        <v>15</v>
      </c>
      <c r="E863" s="26" t="s">
        <v>30</v>
      </c>
      <c r="F863" s="28">
        <v>4984.74</v>
      </c>
      <c r="G863" s="33" t="s">
        <v>34</v>
      </c>
    </row>
    <row r="864" spans="1:7" x14ac:dyDescent="0.3">
      <c r="A864" s="32" t="s">
        <v>904</v>
      </c>
      <c r="B864" s="27">
        <v>45449</v>
      </c>
      <c r="C864" s="26" t="s">
        <v>23</v>
      </c>
      <c r="D864" s="26" t="s">
        <v>15</v>
      </c>
      <c r="E864" s="26" t="s">
        <v>31</v>
      </c>
      <c r="F864" s="28">
        <v>22337.67</v>
      </c>
      <c r="G864" s="33" t="s">
        <v>35</v>
      </c>
    </row>
    <row r="865" spans="1:7" x14ac:dyDescent="0.3">
      <c r="A865" s="32" t="s">
        <v>905</v>
      </c>
      <c r="B865" s="27">
        <v>45450</v>
      </c>
      <c r="C865" s="26" t="s">
        <v>23</v>
      </c>
      <c r="D865" s="26" t="s">
        <v>15</v>
      </c>
      <c r="E865" s="26" t="s">
        <v>27</v>
      </c>
      <c r="F865" s="28">
        <v>3512.21</v>
      </c>
      <c r="G865" s="33" t="s">
        <v>36</v>
      </c>
    </row>
    <row r="866" spans="1:7" x14ac:dyDescent="0.3">
      <c r="A866" s="32" t="s">
        <v>906</v>
      </c>
      <c r="B866" s="27">
        <v>45450</v>
      </c>
      <c r="C866" s="26" t="s">
        <v>23</v>
      </c>
      <c r="D866" s="26" t="s">
        <v>15</v>
      </c>
      <c r="E866" s="26" t="s">
        <v>27</v>
      </c>
      <c r="F866" s="28">
        <v>11157.68</v>
      </c>
      <c r="G866" s="33" t="s">
        <v>34</v>
      </c>
    </row>
    <row r="867" spans="1:7" x14ac:dyDescent="0.3">
      <c r="A867" s="32" t="s">
        <v>907</v>
      </c>
      <c r="B867" s="27">
        <v>45450</v>
      </c>
      <c r="C867" s="26" t="s">
        <v>23</v>
      </c>
      <c r="D867" s="26" t="s">
        <v>15</v>
      </c>
      <c r="E867" s="26" t="s">
        <v>29</v>
      </c>
      <c r="F867" s="28">
        <v>18489.47</v>
      </c>
      <c r="G867" s="33" t="s">
        <v>35</v>
      </c>
    </row>
    <row r="868" spans="1:7" x14ac:dyDescent="0.3">
      <c r="A868" s="32" t="s">
        <v>908</v>
      </c>
      <c r="B868" s="27">
        <v>45450</v>
      </c>
      <c r="C868" s="26" t="s">
        <v>23</v>
      </c>
      <c r="D868" s="26" t="s">
        <v>14</v>
      </c>
      <c r="E868" s="26" t="s">
        <v>46</v>
      </c>
      <c r="F868" s="28">
        <v>43506.559999999998</v>
      </c>
      <c r="G868" s="33" t="s">
        <v>35</v>
      </c>
    </row>
    <row r="869" spans="1:7" x14ac:dyDescent="0.3">
      <c r="A869" s="32" t="s">
        <v>909</v>
      </c>
      <c r="B869" s="27">
        <v>45450</v>
      </c>
      <c r="C869" s="26" t="s">
        <v>23</v>
      </c>
      <c r="D869" s="26" t="s">
        <v>14</v>
      </c>
      <c r="E869" s="26" t="s">
        <v>46</v>
      </c>
      <c r="F869" s="28">
        <v>38755.660000000003</v>
      </c>
      <c r="G869" s="33" t="s">
        <v>34</v>
      </c>
    </row>
    <row r="870" spans="1:7" x14ac:dyDescent="0.3">
      <c r="A870" s="32" t="s">
        <v>910</v>
      </c>
      <c r="B870" s="27">
        <v>45450</v>
      </c>
      <c r="C870" s="26" t="s">
        <v>23</v>
      </c>
      <c r="D870" s="26" t="s">
        <v>15</v>
      </c>
      <c r="E870" s="26" t="s">
        <v>28</v>
      </c>
      <c r="F870" s="28">
        <v>11416.97</v>
      </c>
      <c r="G870" s="33" t="s">
        <v>36</v>
      </c>
    </row>
    <row r="871" spans="1:7" x14ac:dyDescent="0.3">
      <c r="A871" s="32" t="s">
        <v>911</v>
      </c>
      <c r="B871" s="27">
        <v>45451</v>
      </c>
      <c r="C871" s="26" t="s">
        <v>23</v>
      </c>
      <c r="D871" s="26" t="s">
        <v>15</v>
      </c>
      <c r="E871" s="26" t="s">
        <v>30</v>
      </c>
      <c r="F871" s="28">
        <v>15222.71</v>
      </c>
      <c r="G871" s="33" t="s">
        <v>34</v>
      </c>
    </row>
    <row r="872" spans="1:7" x14ac:dyDescent="0.3">
      <c r="A872" s="32" t="s">
        <v>912</v>
      </c>
      <c r="B872" s="27">
        <v>45451</v>
      </c>
      <c r="C872" s="26" t="s">
        <v>23</v>
      </c>
      <c r="D872" s="26" t="s">
        <v>15</v>
      </c>
      <c r="E872" s="26" t="s">
        <v>31</v>
      </c>
      <c r="F872" s="28">
        <v>4882.5200000000004</v>
      </c>
      <c r="G872" s="33" t="s">
        <v>34</v>
      </c>
    </row>
    <row r="873" spans="1:7" x14ac:dyDescent="0.3">
      <c r="A873" s="32" t="s">
        <v>913</v>
      </c>
      <c r="B873" s="27">
        <v>45451</v>
      </c>
      <c r="C873" s="26" t="s">
        <v>23</v>
      </c>
      <c r="D873" s="26" t="s">
        <v>14</v>
      </c>
      <c r="E873" s="26" t="s">
        <v>46</v>
      </c>
      <c r="F873" s="28">
        <v>32191.94</v>
      </c>
      <c r="G873" s="33" t="s">
        <v>35</v>
      </c>
    </row>
    <row r="874" spans="1:7" x14ac:dyDescent="0.3">
      <c r="A874" s="32" t="s">
        <v>914</v>
      </c>
      <c r="B874" s="27">
        <v>45451</v>
      </c>
      <c r="C874" s="26" t="s">
        <v>23</v>
      </c>
      <c r="D874" s="26" t="s">
        <v>15</v>
      </c>
      <c r="E874" s="26" t="s">
        <v>28</v>
      </c>
      <c r="F874" s="28">
        <v>3705.8</v>
      </c>
      <c r="G874" s="33" t="s">
        <v>34</v>
      </c>
    </row>
    <row r="875" spans="1:7" x14ac:dyDescent="0.3">
      <c r="A875" s="32" t="s">
        <v>915</v>
      </c>
      <c r="B875" s="27">
        <v>45452</v>
      </c>
      <c r="C875" s="26" t="s">
        <v>23</v>
      </c>
      <c r="D875" s="26" t="s">
        <v>15</v>
      </c>
      <c r="E875" s="26" t="s">
        <v>27</v>
      </c>
      <c r="F875" s="28">
        <v>12714.16</v>
      </c>
      <c r="G875" s="33" t="s">
        <v>35</v>
      </c>
    </row>
    <row r="876" spans="1:7" x14ac:dyDescent="0.3">
      <c r="A876" s="32" t="s">
        <v>916</v>
      </c>
      <c r="B876" s="27">
        <v>45452</v>
      </c>
      <c r="C876" s="26" t="s">
        <v>23</v>
      </c>
      <c r="D876" s="26" t="s">
        <v>14</v>
      </c>
      <c r="E876" s="26" t="s">
        <v>46</v>
      </c>
      <c r="F876" s="28">
        <v>46215.199999999997</v>
      </c>
      <c r="G876" s="33" t="s">
        <v>35</v>
      </c>
    </row>
    <row r="877" spans="1:7" x14ac:dyDescent="0.3">
      <c r="A877" s="32" t="s">
        <v>917</v>
      </c>
      <c r="B877" s="27">
        <v>45452</v>
      </c>
      <c r="C877" s="26" t="s">
        <v>23</v>
      </c>
      <c r="D877" s="26" t="s">
        <v>14</v>
      </c>
      <c r="E877" s="26" t="s">
        <v>46</v>
      </c>
      <c r="F877" s="28">
        <v>18983.419999999998</v>
      </c>
      <c r="G877" s="33" t="s">
        <v>34</v>
      </c>
    </row>
    <row r="878" spans="1:7" x14ac:dyDescent="0.3">
      <c r="A878" s="32" t="s">
        <v>918</v>
      </c>
      <c r="B878" s="27">
        <v>45452</v>
      </c>
      <c r="C878" s="26" t="s">
        <v>23</v>
      </c>
      <c r="D878" s="26" t="s">
        <v>15</v>
      </c>
      <c r="E878" s="26" t="s">
        <v>30</v>
      </c>
      <c r="F878" s="28">
        <v>21068.240000000002</v>
      </c>
      <c r="G878" s="33" t="s">
        <v>35</v>
      </c>
    </row>
    <row r="879" spans="1:7" x14ac:dyDescent="0.3">
      <c r="A879" s="32" t="s">
        <v>919</v>
      </c>
      <c r="B879" s="27">
        <v>45452</v>
      </c>
      <c r="C879" s="26" t="s">
        <v>23</v>
      </c>
      <c r="D879" s="26" t="s">
        <v>15</v>
      </c>
      <c r="E879" s="26" t="s">
        <v>27</v>
      </c>
      <c r="F879" s="28">
        <v>14679.98</v>
      </c>
      <c r="G879" s="33" t="s">
        <v>34</v>
      </c>
    </row>
    <row r="880" spans="1:7" x14ac:dyDescent="0.3">
      <c r="A880" s="32" t="s">
        <v>920</v>
      </c>
      <c r="B880" s="27">
        <v>45452</v>
      </c>
      <c r="C880" s="26" t="s">
        <v>23</v>
      </c>
      <c r="D880" s="26" t="s">
        <v>14</v>
      </c>
      <c r="E880" s="26" t="s">
        <v>46</v>
      </c>
      <c r="F880" s="28">
        <v>51145.02</v>
      </c>
      <c r="G880" s="33" t="s">
        <v>34</v>
      </c>
    </row>
    <row r="881" spans="1:7" x14ac:dyDescent="0.3">
      <c r="A881" s="32" t="s">
        <v>921</v>
      </c>
      <c r="B881" s="27">
        <v>45452</v>
      </c>
      <c r="C881" s="26" t="s">
        <v>23</v>
      </c>
      <c r="D881" s="26" t="s">
        <v>14</v>
      </c>
      <c r="E881" s="26" t="s">
        <v>46</v>
      </c>
      <c r="F881" s="28">
        <v>63744.71</v>
      </c>
      <c r="G881" s="33" t="s">
        <v>34</v>
      </c>
    </row>
    <row r="882" spans="1:7" x14ac:dyDescent="0.3">
      <c r="A882" s="32" t="s">
        <v>922</v>
      </c>
      <c r="B882" s="27">
        <v>45453</v>
      </c>
      <c r="C882" s="26" t="s">
        <v>23</v>
      </c>
      <c r="D882" s="26" t="s">
        <v>14</v>
      </c>
      <c r="E882" s="26" t="s">
        <v>46</v>
      </c>
      <c r="F882" s="28">
        <v>19032.310000000001</v>
      </c>
      <c r="G882" s="33" t="s">
        <v>36</v>
      </c>
    </row>
    <row r="883" spans="1:7" x14ac:dyDescent="0.3">
      <c r="A883" s="32" t="s">
        <v>923</v>
      </c>
      <c r="B883" s="27">
        <v>45453</v>
      </c>
      <c r="C883" s="26" t="s">
        <v>23</v>
      </c>
      <c r="D883" s="26" t="s">
        <v>15</v>
      </c>
      <c r="E883" s="26" t="s">
        <v>30</v>
      </c>
      <c r="F883" s="28">
        <v>13565.87</v>
      </c>
      <c r="G883" s="33" t="s">
        <v>34</v>
      </c>
    </row>
    <row r="884" spans="1:7" x14ac:dyDescent="0.3">
      <c r="A884" s="32" t="s">
        <v>924</v>
      </c>
      <c r="B884" s="27">
        <v>45453</v>
      </c>
      <c r="C884" s="26" t="s">
        <v>23</v>
      </c>
      <c r="D884" s="26" t="s">
        <v>14</v>
      </c>
      <c r="E884" s="26" t="s">
        <v>46</v>
      </c>
      <c r="F884" s="28">
        <v>70774.81</v>
      </c>
      <c r="G884" s="33" t="s">
        <v>34</v>
      </c>
    </row>
    <row r="885" spans="1:7" x14ac:dyDescent="0.3">
      <c r="A885" s="32" t="s">
        <v>925</v>
      </c>
      <c r="B885" s="27">
        <v>45454</v>
      </c>
      <c r="C885" s="26" t="s">
        <v>23</v>
      </c>
      <c r="D885" s="26" t="s">
        <v>14</v>
      </c>
      <c r="E885" s="26" t="s">
        <v>46</v>
      </c>
      <c r="F885" s="28">
        <v>68197.36</v>
      </c>
      <c r="G885" s="33" t="s">
        <v>35</v>
      </c>
    </row>
    <row r="886" spans="1:7" x14ac:dyDescent="0.3">
      <c r="A886" s="32" t="s">
        <v>926</v>
      </c>
      <c r="B886" s="27">
        <v>45454</v>
      </c>
      <c r="C886" s="26" t="s">
        <v>23</v>
      </c>
      <c r="D886" s="26" t="s">
        <v>15</v>
      </c>
      <c r="E886" s="26" t="s">
        <v>28</v>
      </c>
      <c r="F886" s="28">
        <v>13916.35</v>
      </c>
      <c r="G886" s="33" t="s">
        <v>35</v>
      </c>
    </row>
    <row r="887" spans="1:7" x14ac:dyDescent="0.3">
      <c r="A887" s="32" t="s">
        <v>927</v>
      </c>
      <c r="B887" s="27">
        <v>45454</v>
      </c>
      <c r="C887" s="26" t="s">
        <v>23</v>
      </c>
      <c r="D887" s="26" t="s">
        <v>14</v>
      </c>
      <c r="E887" s="26" t="s">
        <v>46</v>
      </c>
      <c r="F887" s="28">
        <v>31288.720000000001</v>
      </c>
      <c r="G887" s="33" t="s">
        <v>35</v>
      </c>
    </row>
    <row r="888" spans="1:7" x14ac:dyDescent="0.3">
      <c r="A888" s="32" t="s">
        <v>928</v>
      </c>
      <c r="B888" s="27">
        <v>45454</v>
      </c>
      <c r="C888" s="26" t="s">
        <v>23</v>
      </c>
      <c r="D888" s="26" t="s">
        <v>15</v>
      </c>
      <c r="E888" s="26" t="s">
        <v>29</v>
      </c>
      <c r="F888" s="28">
        <v>5725.24</v>
      </c>
      <c r="G888" s="33" t="s">
        <v>34</v>
      </c>
    </row>
    <row r="889" spans="1:7" x14ac:dyDescent="0.3">
      <c r="A889" s="32" t="s">
        <v>929</v>
      </c>
      <c r="B889" s="27">
        <v>45454</v>
      </c>
      <c r="C889" s="26" t="s">
        <v>23</v>
      </c>
      <c r="D889" s="26" t="s">
        <v>14</v>
      </c>
      <c r="E889" s="26" t="s">
        <v>46</v>
      </c>
      <c r="F889" s="28">
        <v>75431.649999999994</v>
      </c>
      <c r="G889" s="33" t="s">
        <v>34</v>
      </c>
    </row>
    <row r="890" spans="1:7" x14ac:dyDescent="0.3">
      <c r="A890" s="32" t="s">
        <v>930</v>
      </c>
      <c r="B890" s="27">
        <v>45454</v>
      </c>
      <c r="C890" s="26" t="s">
        <v>23</v>
      </c>
      <c r="D890" s="26" t="s">
        <v>14</v>
      </c>
      <c r="E890" s="26" t="s">
        <v>46</v>
      </c>
      <c r="F890" s="28">
        <v>25782.92</v>
      </c>
      <c r="G890" s="33" t="s">
        <v>34</v>
      </c>
    </row>
    <row r="891" spans="1:7" x14ac:dyDescent="0.3">
      <c r="A891" s="32" t="s">
        <v>931</v>
      </c>
      <c r="B891" s="27">
        <v>45455</v>
      </c>
      <c r="C891" s="26" t="s">
        <v>23</v>
      </c>
      <c r="D891" s="26" t="s">
        <v>14</v>
      </c>
      <c r="E891" s="26" t="s">
        <v>46</v>
      </c>
      <c r="F891" s="28">
        <v>76323.820000000007</v>
      </c>
      <c r="G891" s="33" t="s">
        <v>35</v>
      </c>
    </row>
    <row r="892" spans="1:7" x14ac:dyDescent="0.3">
      <c r="A892" s="32" t="s">
        <v>932</v>
      </c>
      <c r="B892" s="27">
        <v>45455</v>
      </c>
      <c r="C892" s="26" t="s">
        <v>23</v>
      </c>
      <c r="D892" s="26" t="s">
        <v>15</v>
      </c>
      <c r="E892" s="26" t="s">
        <v>27</v>
      </c>
      <c r="F892" s="28">
        <v>13934.65</v>
      </c>
      <c r="G892" s="33" t="s">
        <v>34</v>
      </c>
    </row>
    <row r="893" spans="1:7" x14ac:dyDescent="0.3">
      <c r="A893" s="32" t="s">
        <v>933</v>
      </c>
      <c r="B893" s="27">
        <v>45455</v>
      </c>
      <c r="C893" s="26" t="s">
        <v>23</v>
      </c>
      <c r="D893" s="26" t="s">
        <v>15</v>
      </c>
      <c r="E893" s="26" t="s">
        <v>29</v>
      </c>
      <c r="F893" s="28">
        <v>8533.11</v>
      </c>
      <c r="G893" s="33" t="s">
        <v>34</v>
      </c>
    </row>
    <row r="894" spans="1:7" x14ac:dyDescent="0.3">
      <c r="A894" s="32" t="s">
        <v>934</v>
      </c>
      <c r="B894" s="27">
        <v>45455</v>
      </c>
      <c r="C894" s="26" t="s">
        <v>23</v>
      </c>
      <c r="D894" s="26" t="s">
        <v>15</v>
      </c>
      <c r="E894" s="26" t="s">
        <v>28</v>
      </c>
      <c r="F894" s="28">
        <v>3813.78</v>
      </c>
      <c r="G894" s="33" t="s">
        <v>36</v>
      </c>
    </row>
    <row r="895" spans="1:7" x14ac:dyDescent="0.3">
      <c r="A895" s="32" t="s">
        <v>935</v>
      </c>
      <c r="B895" s="27">
        <v>45455</v>
      </c>
      <c r="C895" s="26" t="s">
        <v>23</v>
      </c>
      <c r="D895" s="26" t="s">
        <v>15</v>
      </c>
      <c r="E895" s="26" t="s">
        <v>28</v>
      </c>
      <c r="F895" s="28">
        <v>6514.94</v>
      </c>
      <c r="G895" s="33" t="s">
        <v>34</v>
      </c>
    </row>
    <row r="896" spans="1:7" x14ac:dyDescent="0.3">
      <c r="A896" s="32" t="s">
        <v>936</v>
      </c>
      <c r="B896" s="27">
        <v>45455</v>
      </c>
      <c r="C896" s="26" t="s">
        <v>23</v>
      </c>
      <c r="D896" s="26" t="s">
        <v>15</v>
      </c>
      <c r="E896" s="26" t="s">
        <v>27</v>
      </c>
      <c r="F896" s="28">
        <v>23996.09</v>
      </c>
      <c r="G896" s="33" t="s">
        <v>36</v>
      </c>
    </row>
    <row r="897" spans="1:7" x14ac:dyDescent="0.3">
      <c r="A897" s="32" t="s">
        <v>937</v>
      </c>
      <c r="B897" s="27">
        <v>45456</v>
      </c>
      <c r="C897" s="26" t="s">
        <v>23</v>
      </c>
      <c r="D897" s="26" t="s">
        <v>14</v>
      </c>
      <c r="E897" s="26" t="s">
        <v>46</v>
      </c>
      <c r="F897" s="28">
        <v>29211.57</v>
      </c>
      <c r="G897" s="33" t="s">
        <v>35</v>
      </c>
    </row>
    <row r="898" spans="1:7" x14ac:dyDescent="0.3">
      <c r="A898" s="32" t="s">
        <v>938</v>
      </c>
      <c r="B898" s="27">
        <v>45456</v>
      </c>
      <c r="C898" s="26" t="s">
        <v>23</v>
      </c>
      <c r="D898" s="26" t="s">
        <v>14</v>
      </c>
      <c r="E898" s="26" t="s">
        <v>46</v>
      </c>
      <c r="F898" s="28">
        <v>53751.57</v>
      </c>
      <c r="G898" s="33" t="s">
        <v>35</v>
      </c>
    </row>
    <row r="899" spans="1:7" x14ac:dyDescent="0.3">
      <c r="A899" s="32" t="s">
        <v>939</v>
      </c>
      <c r="B899" s="27">
        <v>45456</v>
      </c>
      <c r="C899" s="26" t="s">
        <v>23</v>
      </c>
      <c r="D899" s="26" t="s">
        <v>15</v>
      </c>
      <c r="E899" s="26" t="s">
        <v>29</v>
      </c>
      <c r="F899" s="28">
        <v>16131.85</v>
      </c>
      <c r="G899" s="33" t="s">
        <v>34</v>
      </c>
    </row>
    <row r="900" spans="1:7" x14ac:dyDescent="0.3">
      <c r="A900" s="32" t="s">
        <v>940</v>
      </c>
      <c r="B900" s="27">
        <v>45456</v>
      </c>
      <c r="C900" s="26" t="s">
        <v>23</v>
      </c>
      <c r="D900" s="26" t="s">
        <v>14</v>
      </c>
      <c r="E900" s="26" t="s">
        <v>46</v>
      </c>
      <c r="F900" s="28">
        <v>16539.990000000002</v>
      </c>
      <c r="G900" s="33" t="s">
        <v>34</v>
      </c>
    </row>
    <row r="901" spans="1:7" x14ac:dyDescent="0.3">
      <c r="A901" s="32" t="s">
        <v>941</v>
      </c>
      <c r="B901" s="27">
        <v>45457</v>
      </c>
      <c r="C901" s="26" t="s">
        <v>23</v>
      </c>
      <c r="D901" s="26" t="s">
        <v>14</v>
      </c>
      <c r="E901" s="26" t="s">
        <v>46</v>
      </c>
      <c r="F901" s="28">
        <v>54869.120000000003</v>
      </c>
      <c r="G901" s="33" t="s">
        <v>35</v>
      </c>
    </row>
    <row r="902" spans="1:7" x14ac:dyDescent="0.3">
      <c r="A902" s="32" t="s">
        <v>942</v>
      </c>
      <c r="B902" s="27">
        <v>45457</v>
      </c>
      <c r="C902" s="26" t="s">
        <v>23</v>
      </c>
      <c r="D902" s="26" t="s">
        <v>14</v>
      </c>
      <c r="E902" s="26" t="s">
        <v>46</v>
      </c>
      <c r="F902" s="28">
        <v>51426.59</v>
      </c>
      <c r="G902" s="33" t="s">
        <v>35</v>
      </c>
    </row>
    <row r="903" spans="1:7" x14ac:dyDescent="0.3">
      <c r="A903" s="32" t="s">
        <v>943</v>
      </c>
      <c r="B903" s="27">
        <v>45457</v>
      </c>
      <c r="C903" s="26" t="s">
        <v>23</v>
      </c>
      <c r="D903" s="26" t="s">
        <v>14</v>
      </c>
      <c r="E903" s="26" t="s">
        <v>46</v>
      </c>
      <c r="F903" s="28">
        <v>50645.26</v>
      </c>
      <c r="G903" s="33" t="s">
        <v>35</v>
      </c>
    </row>
    <row r="904" spans="1:7" x14ac:dyDescent="0.3">
      <c r="A904" s="32" t="s">
        <v>944</v>
      </c>
      <c r="B904" s="27">
        <v>45457</v>
      </c>
      <c r="C904" s="26" t="s">
        <v>23</v>
      </c>
      <c r="D904" s="26" t="s">
        <v>14</v>
      </c>
      <c r="E904" s="26" t="s">
        <v>46</v>
      </c>
      <c r="F904" s="28">
        <v>21984.04</v>
      </c>
      <c r="G904" s="33" t="s">
        <v>34</v>
      </c>
    </row>
    <row r="905" spans="1:7" x14ac:dyDescent="0.3">
      <c r="A905" s="32" t="s">
        <v>945</v>
      </c>
      <c r="B905" s="27">
        <v>45457</v>
      </c>
      <c r="C905" s="26" t="s">
        <v>23</v>
      </c>
      <c r="D905" s="26" t="s">
        <v>15</v>
      </c>
      <c r="E905" s="26" t="s">
        <v>31</v>
      </c>
      <c r="F905" s="28">
        <v>16363.02</v>
      </c>
      <c r="G905" s="33" t="s">
        <v>35</v>
      </c>
    </row>
    <row r="906" spans="1:7" x14ac:dyDescent="0.3">
      <c r="A906" s="32" t="s">
        <v>946</v>
      </c>
      <c r="B906" s="27">
        <v>45458</v>
      </c>
      <c r="C906" s="26" t="s">
        <v>23</v>
      </c>
      <c r="D906" s="26" t="s">
        <v>15</v>
      </c>
      <c r="E906" s="26" t="s">
        <v>27</v>
      </c>
      <c r="F906" s="28">
        <v>22746.02</v>
      </c>
      <c r="G906" s="33" t="s">
        <v>35</v>
      </c>
    </row>
    <row r="907" spans="1:7" x14ac:dyDescent="0.3">
      <c r="A907" s="32" t="s">
        <v>947</v>
      </c>
      <c r="B907" s="27">
        <v>45458</v>
      </c>
      <c r="C907" s="26" t="s">
        <v>23</v>
      </c>
      <c r="D907" s="26" t="s">
        <v>15</v>
      </c>
      <c r="E907" s="26" t="s">
        <v>27</v>
      </c>
      <c r="F907" s="28">
        <v>9765.25</v>
      </c>
      <c r="G907" s="33" t="s">
        <v>35</v>
      </c>
    </row>
    <row r="908" spans="1:7" x14ac:dyDescent="0.3">
      <c r="A908" s="32" t="s">
        <v>948</v>
      </c>
      <c r="B908" s="27">
        <v>45458</v>
      </c>
      <c r="C908" s="26" t="s">
        <v>23</v>
      </c>
      <c r="D908" s="26" t="s">
        <v>15</v>
      </c>
      <c r="E908" s="26" t="s">
        <v>27</v>
      </c>
      <c r="F908" s="28">
        <v>23250.38</v>
      </c>
      <c r="G908" s="33" t="s">
        <v>35</v>
      </c>
    </row>
    <row r="909" spans="1:7" x14ac:dyDescent="0.3">
      <c r="A909" s="32" t="s">
        <v>949</v>
      </c>
      <c r="B909" s="27">
        <v>45458</v>
      </c>
      <c r="C909" s="26" t="s">
        <v>23</v>
      </c>
      <c r="D909" s="26" t="s">
        <v>14</v>
      </c>
      <c r="E909" s="26" t="s">
        <v>46</v>
      </c>
      <c r="F909" s="28">
        <v>12883.6</v>
      </c>
      <c r="G909" s="33" t="s">
        <v>35</v>
      </c>
    </row>
    <row r="910" spans="1:7" x14ac:dyDescent="0.3">
      <c r="A910" s="32" t="s">
        <v>950</v>
      </c>
      <c r="B910" s="27">
        <v>45458</v>
      </c>
      <c r="C910" s="26" t="s">
        <v>23</v>
      </c>
      <c r="D910" s="26" t="s">
        <v>14</v>
      </c>
      <c r="E910" s="26" t="s">
        <v>46</v>
      </c>
      <c r="F910" s="28">
        <v>70464.679999999993</v>
      </c>
      <c r="G910" s="33" t="s">
        <v>34</v>
      </c>
    </row>
    <row r="911" spans="1:7" x14ac:dyDescent="0.3">
      <c r="A911" s="32" t="s">
        <v>951</v>
      </c>
      <c r="B911" s="27">
        <v>45458</v>
      </c>
      <c r="C911" s="26" t="s">
        <v>23</v>
      </c>
      <c r="D911" s="26" t="s">
        <v>15</v>
      </c>
      <c r="E911" s="26" t="s">
        <v>29</v>
      </c>
      <c r="F911" s="28">
        <v>3868.13</v>
      </c>
      <c r="G911" s="33" t="s">
        <v>34</v>
      </c>
    </row>
    <row r="912" spans="1:7" x14ac:dyDescent="0.3">
      <c r="A912" s="32" t="s">
        <v>952</v>
      </c>
      <c r="B912" s="27">
        <v>45459</v>
      </c>
      <c r="C912" s="26" t="s">
        <v>23</v>
      </c>
      <c r="D912" s="26" t="s">
        <v>15</v>
      </c>
      <c r="E912" s="26" t="s">
        <v>29</v>
      </c>
      <c r="F912" s="28">
        <v>23816.58</v>
      </c>
      <c r="G912" s="33" t="s">
        <v>34</v>
      </c>
    </row>
    <row r="913" spans="1:7" x14ac:dyDescent="0.3">
      <c r="A913" s="32" t="s">
        <v>953</v>
      </c>
      <c r="B913" s="27">
        <v>45459</v>
      </c>
      <c r="C913" s="26" t="s">
        <v>23</v>
      </c>
      <c r="D913" s="26" t="s">
        <v>14</v>
      </c>
      <c r="E913" s="26" t="s">
        <v>46</v>
      </c>
      <c r="F913" s="28">
        <v>63971.57</v>
      </c>
      <c r="G913" s="33" t="s">
        <v>34</v>
      </c>
    </row>
    <row r="914" spans="1:7" x14ac:dyDescent="0.3">
      <c r="A914" s="32" t="s">
        <v>954</v>
      </c>
      <c r="B914" s="27">
        <v>45459</v>
      </c>
      <c r="C914" s="26" t="s">
        <v>23</v>
      </c>
      <c r="D914" s="26" t="s">
        <v>15</v>
      </c>
      <c r="E914" s="26" t="s">
        <v>28</v>
      </c>
      <c r="F914" s="28">
        <v>8087.09</v>
      </c>
      <c r="G914" s="33" t="s">
        <v>34</v>
      </c>
    </row>
    <row r="915" spans="1:7" x14ac:dyDescent="0.3">
      <c r="A915" s="32" t="s">
        <v>955</v>
      </c>
      <c r="B915" s="27">
        <v>45459</v>
      </c>
      <c r="C915" s="26" t="s">
        <v>23</v>
      </c>
      <c r="D915" s="26" t="s">
        <v>15</v>
      </c>
      <c r="E915" s="26" t="s">
        <v>27</v>
      </c>
      <c r="F915" s="28">
        <v>6848.59</v>
      </c>
      <c r="G915" s="33" t="s">
        <v>34</v>
      </c>
    </row>
    <row r="916" spans="1:7" x14ac:dyDescent="0.3">
      <c r="A916" s="32" t="s">
        <v>956</v>
      </c>
      <c r="B916" s="27">
        <v>45459</v>
      </c>
      <c r="C916" s="26" t="s">
        <v>23</v>
      </c>
      <c r="D916" s="26" t="s">
        <v>15</v>
      </c>
      <c r="E916" s="26" t="s">
        <v>28</v>
      </c>
      <c r="F916" s="28">
        <v>15159.16</v>
      </c>
      <c r="G916" s="33" t="s">
        <v>34</v>
      </c>
    </row>
    <row r="917" spans="1:7" x14ac:dyDescent="0.3">
      <c r="A917" s="32" t="s">
        <v>957</v>
      </c>
      <c r="B917" s="27">
        <v>45460</v>
      </c>
      <c r="C917" s="26" t="s">
        <v>23</v>
      </c>
      <c r="D917" s="26" t="s">
        <v>15</v>
      </c>
      <c r="E917" s="26" t="s">
        <v>28</v>
      </c>
      <c r="F917" s="28">
        <v>16216.49</v>
      </c>
      <c r="G917" s="33" t="s">
        <v>34</v>
      </c>
    </row>
    <row r="918" spans="1:7" x14ac:dyDescent="0.3">
      <c r="A918" s="32" t="s">
        <v>958</v>
      </c>
      <c r="B918" s="27">
        <v>45460</v>
      </c>
      <c r="C918" s="26" t="s">
        <v>23</v>
      </c>
      <c r="D918" s="26" t="s">
        <v>14</v>
      </c>
      <c r="E918" s="26" t="s">
        <v>46</v>
      </c>
      <c r="F918" s="28">
        <v>12120.01</v>
      </c>
      <c r="G918" s="33" t="s">
        <v>34</v>
      </c>
    </row>
    <row r="919" spans="1:7" x14ac:dyDescent="0.3">
      <c r="A919" s="32" t="s">
        <v>959</v>
      </c>
      <c r="B919" s="27">
        <v>45460</v>
      </c>
      <c r="C919" s="26" t="s">
        <v>23</v>
      </c>
      <c r="D919" s="26" t="s">
        <v>15</v>
      </c>
      <c r="E919" s="26" t="s">
        <v>28</v>
      </c>
      <c r="F919" s="28">
        <v>22446.93</v>
      </c>
      <c r="G919" s="33" t="s">
        <v>35</v>
      </c>
    </row>
    <row r="920" spans="1:7" x14ac:dyDescent="0.3">
      <c r="A920" s="32" t="s">
        <v>960</v>
      </c>
      <c r="B920" s="27">
        <v>45460</v>
      </c>
      <c r="C920" s="26" t="s">
        <v>23</v>
      </c>
      <c r="D920" s="26" t="s">
        <v>15</v>
      </c>
      <c r="E920" s="26" t="s">
        <v>31</v>
      </c>
      <c r="F920" s="28">
        <v>14548.28</v>
      </c>
      <c r="G920" s="33" t="s">
        <v>36</v>
      </c>
    </row>
    <row r="921" spans="1:7" x14ac:dyDescent="0.3">
      <c r="A921" s="32" t="s">
        <v>961</v>
      </c>
      <c r="B921" s="27">
        <v>45460</v>
      </c>
      <c r="C921" s="26" t="s">
        <v>23</v>
      </c>
      <c r="D921" s="26" t="s">
        <v>14</v>
      </c>
      <c r="E921" s="26" t="s">
        <v>46</v>
      </c>
      <c r="F921" s="28">
        <v>54933.51</v>
      </c>
      <c r="G921" s="33" t="s">
        <v>34</v>
      </c>
    </row>
    <row r="922" spans="1:7" x14ac:dyDescent="0.3">
      <c r="A922" s="32" t="s">
        <v>962</v>
      </c>
      <c r="B922" s="27">
        <v>45461</v>
      </c>
      <c r="C922" s="26" t="s">
        <v>23</v>
      </c>
      <c r="D922" s="26" t="s">
        <v>15</v>
      </c>
      <c r="E922" s="26" t="s">
        <v>27</v>
      </c>
      <c r="F922" s="28">
        <v>8948.16</v>
      </c>
      <c r="G922" s="33" t="s">
        <v>36</v>
      </c>
    </row>
    <row r="923" spans="1:7" x14ac:dyDescent="0.3">
      <c r="A923" s="32" t="s">
        <v>963</v>
      </c>
      <c r="B923" s="27">
        <v>45461</v>
      </c>
      <c r="C923" s="26" t="s">
        <v>23</v>
      </c>
      <c r="D923" s="26" t="s">
        <v>15</v>
      </c>
      <c r="E923" s="26" t="s">
        <v>29</v>
      </c>
      <c r="F923" s="28">
        <v>7632.19</v>
      </c>
      <c r="G923" s="33" t="s">
        <v>34</v>
      </c>
    </row>
    <row r="924" spans="1:7" x14ac:dyDescent="0.3">
      <c r="A924" s="32" t="s">
        <v>964</v>
      </c>
      <c r="B924" s="27">
        <v>45461</v>
      </c>
      <c r="C924" s="26" t="s">
        <v>23</v>
      </c>
      <c r="D924" s="26" t="s">
        <v>15</v>
      </c>
      <c r="E924" s="26" t="s">
        <v>28</v>
      </c>
      <c r="F924" s="28">
        <v>20569.03</v>
      </c>
      <c r="G924" s="33" t="s">
        <v>34</v>
      </c>
    </row>
    <row r="925" spans="1:7" x14ac:dyDescent="0.3">
      <c r="A925" s="32" t="s">
        <v>965</v>
      </c>
      <c r="B925" s="27">
        <v>45461</v>
      </c>
      <c r="C925" s="26" t="s">
        <v>23</v>
      </c>
      <c r="D925" s="26" t="s">
        <v>15</v>
      </c>
      <c r="E925" s="26" t="s">
        <v>28</v>
      </c>
      <c r="F925" s="28">
        <v>11340.13</v>
      </c>
      <c r="G925" s="33" t="s">
        <v>34</v>
      </c>
    </row>
    <row r="926" spans="1:7" x14ac:dyDescent="0.3">
      <c r="A926" s="32" t="s">
        <v>966</v>
      </c>
      <c r="B926" s="27">
        <v>45461</v>
      </c>
      <c r="C926" s="26" t="s">
        <v>23</v>
      </c>
      <c r="D926" s="26" t="s">
        <v>15</v>
      </c>
      <c r="E926" s="26" t="s">
        <v>29</v>
      </c>
      <c r="F926" s="28">
        <v>12431.52</v>
      </c>
      <c r="G926" s="33" t="s">
        <v>34</v>
      </c>
    </row>
    <row r="927" spans="1:7" x14ac:dyDescent="0.3">
      <c r="A927" s="32" t="s">
        <v>967</v>
      </c>
      <c r="B927" s="27">
        <v>45461</v>
      </c>
      <c r="C927" s="26" t="s">
        <v>23</v>
      </c>
      <c r="D927" s="26" t="s">
        <v>14</v>
      </c>
      <c r="E927" s="26" t="s">
        <v>46</v>
      </c>
      <c r="F927" s="28">
        <v>58202.95</v>
      </c>
      <c r="G927" s="33" t="s">
        <v>35</v>
      </c>
    </row>
    <row r="928" spans="1:7" x14ac:dyDescent="0.3">
      <c r="A928" s="32" t="s">
        <v>968</v>
      </c>
      <c r="B928" s="27">
        <v>45461</v>
      </c>
      <c r="C928" s="26" t="s">
        <v>23</v>
      </c>
      <c r="D928" s="26" t="s">
        <v>14</v>
      </c>
      <c r="E928" s="26" t="s">
        <v>46</v>
      </c>
      <c r="F928" s="28">
        <v>21065.63</v>
      </c>
      <c r="G928" s="33" t="s">
        <v>35</v>
      </c>
    </row>
    <row r="929" spans="1:7" x14ac:dyDescent="0.3">
      <c r="A929" s="32" t="s">
        <v>969</v>
      </c>
      <c r="B929" s="27">
        <v>45461</v>
      </c>
      <c r="C929" s="26" t="s">
        <v>23</v>
      </c>
      <c r="D929" s="26" t="s">
        <v>15</v>
      </c>
      <c r="E929" s="26" t="s">
        <v>29</v>
      </c>
      <c r="F929" s="28">
        <v>11559.3</v>
      </c>
      <c r="G929" s="33" t="s">
        <v>34</v>
      </c>
    </row>
    <row r="930" spans="1:7" x14ac:dyDescent="0.3">
      <c r="A930" s="32" t="s">
        <v>970</v>
      </c>
      <c r="B930" s="27">
        <v>45461</v>
      </c>
      <c r="C930" s="26" t="s">
        <v>23</v>
      </c>
      <c r="D930" s="26" t="s">
        <v>15</v>
      </c>
      <c r="E930" s="26" t="s">
        <v>31</v>
      </c>
      <c r="F930" s="28">
        <v>12682.17</v>
      </c>
      <c r="G930" s="33" t="s">
        <v>34</v>
      </c>
    </row>
    <row r="931" spans="1:7" x14ac:dyDescent="0.3">
      <c r="A931" s="32" t="s">
        <v>971</v>
      </c>
      <c r="B931" s="27">
        <v>45461</v>
      </c>
      <c r="C931" s="26" t="s">
        <v>23</v>
      </c>
      <c r="D931" s="26" t="s">
        <v>14</v>
      </c>
      <c r="E931" s="26" t="s">
        <v>46</v>
      </c>
      <c r="F931" s="28">
        <v>33813.480000000003</v>
      </c>
      <c r="G931" s="33" t="s">
        <v>34</v>
      </c>
    </row>
    <row r="932" spans="1:7" x14ac:dyDescent="0.3">
      <c r="A932" s="32" t="s">
        <v>972</v>
      </c>
      <c r="B932" s="27">
        <v>45462</v>
      </c>
      <c r="C932" s="26" t="s">
        <v>23</v>
      </c>
      <c r="D932" s="26" t="s">
        <v>14</v>
      </c>
      <c r="E932" s="26" t="s">
        <v>46</v>
      </c>
      <c r="F932" s="28">
        <v>20056.810000000001</v>
      </c>
      <c r="G932" s="33" t="s">
        <v>34</v>
      </c>
    </row>
    <row r="933" spans="1:7" x14ac:dyDescent="0.3">
      <c r="A933" s="32" t="s">
        <v>973</v>
      </c>
      <c r="B933" s="27">
        <v>45462</v>
      </c>
      <c r="C933" s="26" t="s">
        <v>23</v>
      </c>
      <c r="D933" s="26" t="s">
        <v>15</v>
      </c>
      <c r="E933" s="26" t="s">
        <v>27</v>
      </c>
      <c r="F933" s="28">
        <v>21814.16</v>
      </c>
      <c r="G933" s="33" t="s">
        <v>34</v>
      </c>
    </row>
    <row r="934" spans="1:7" x14ac:dyDescent="0.3">
      <c r="A934" s="32" t="s">
        <v>974</v>
      </c>
      <c r="B934" s="27">
        <v>45462</v>
      </c>
      <c r="C934" s="26" t="s">
        <v>23</v>
      </c>
      <c r="D934" s="26" t="s">
        <v>15</v>
      </c>
      <c r="E934" s="26" t="s">
        <v>27</v>
      </c>
      <c r="F934" s="28">
        <v>9344.2800000000007</v>
      </c>
      <c r="G934" s="33" t="s">
        <v>34</v>
      </c>
    </row>
    <row r="935" spans="1:7" x14ac:dyDescent="0.3">
      <c r="A935" s="32" t="s">
        <v>975</v>
      </c>
      <c r="B935" s="27">
        <v>45462</v>
      </c>
      <c r="C935" s="26" t="s">
        <v>23</v>
      </c>
      <c r="D935" s="26" t="s">
        <v>15</v>
      </c>
      <c r="E935" s="26" t="s">
        <v>29</v>
      </c>
      <c r="F935" s="28">
        <v>24724.54</v>
      </c>
      <c r="G935" s="33" t="s">
        <v>35</v>
      </c>
    </row>
    <row r="936" spans="1:7" x14ac:dyDescent="0.3">
      <c r="A936" s="32" t="s">
        <v>976</v>
      </c>
      <c r="B936" s="27">
        <v>45462</v>
      </c>
      <c r="C936" s="26" t="s">
        <v>23</v>
      </c>
      <c r="D936" s="26" t="s">
        <v>14</v>
      </c>
      <c r="E936" s="26" t="s">
        <v>46</v>
      </c>
      <c r="F936" s="28">
        <v>34175.94</v>
      </c>
      <c r="G936" s="33" t="s">
        <v>36</v>
      </c>
    </row>
    <row r="937" spans="1:7" x14ac:dyDescent="0.3">
      <c r="A937" s="32" t="s">
        <v>977</v>
      </c>
      <c r="B937" s="27">
        <v>45462</v>
      </c>
      <c r="C937" s="26" t="s">
        <v>23</v>
      </c>
      <c r="D937" s="26" t="s">
        <v>14</v>
      </c>
      <c r="E937" s="26" t="s">
        <v>46</v>
      </c>
      <c r="F937" s="28">
        <v>37910.160000000003</v>
      </c>
      <c r="G937" s="33" t="s">
        <v>34</v>
      </c>
    </row>
    <row r="938" spans="1:7" x14ac:dyDescent="0.3">
      <c r="A938" s="32" t="s">
        <v>978</v>
      </c>
      <c r="B938" s="27">
        <v>45463</v>
      </c>
      <c r="C938" s="26" t="s">
        <v>23</v>
      </c>
      <c r="D938" s="26" t="s">
        <v>14</v>
      </c>
      <c r="E938" s="26" t="s">
        <v>46</v>
      </c>
      <c r="F938" s="28">
        <v>63246.55</v>
      </c>
      <c r="G938" s="33" t="s">
        <v>36</v>
      </c>
    </row>
    <row r="939" spans="1:7" x14ac:dyDescent="0.3">
      <c r="A939" s="32" t="s">
        <v>979</v>
      </c>
      <c r="B939" s="27">
        <v>45463</v>
      </c>
      <c r="C939" s="26" t="s">
        <v>23</v>
      </c>
      <c r="D939" s="26" t="s">
        <v>15</v>
      </c>
      <c r="E939" s="26" t="s">
        <v>28</v>
      </c>
      <c r="F939" s="28">
        <v>13844.54</v>
      </c>
      <c r="G939" s="33" t="s">
        <v>34</v>
      </c>
    </row>
    <row r="940" spans="1:7" x14ac:dyDescent="0.3">
      <c r="A940" s="32" t="s">
        <v>980</v>
      </c>
      <c r="B940" s="27">
        <v>45463</v>
      </c>
      <c r="C940" s="26" t="s">
        <v>23</v>
      </c>
      <c r="D940" s="26" t="s">
        <v>14</v>
      </c>
      <c r="E940" s="26" t="s">
        <v>46</v>
      </c>
      <c r="F940" s="28">
        <v>17432.88</v>
      </c>
      <c r="G940" s="33" t="s">
        <v>34</v>
      </c>
    </row>
    <row r="941" spans="1:7" x14ac:dyDescent="0.3">
      <c r="A941" s="32" t="s">
        <v>981</v>
      </c>
      <c r="B941" s="27">
        <v>45463</v>
      </c>
      <c r="C941" s="26" t="s">
        <v>23</v>
      </c>
      <c r="D941" s="26" t="s">
        <v>15</v>
      </c>
      <c r="E941" s="26" t="s">
        <v>27</v>
      </c>
      <c r="F941" s="28">
        <v>7559.97</v>
      </c>
      <c r="G941" s="33" t="s">
        <v>34</v>
      </c>
    </row>
    <row r="942" spans="1:7" x14ac:dyDescent="0.3">
      <c r="A942" s="32" t="s">
        <v>982</v>
      </c>
      <c r="B942" s="27">
        <v>45463</v>
      </c>
      <c r="C942" s="26" t="s">
        <v>23</v>
      </c>
      <c r="D942" s="26" t="s">
        <v>14</v>
      </c>
      <c r="E942" s="26" t="s">
        <v>46</v>
      </c>
      <c r="F942" s="28">
        <v>18576.53</v>
      </c>
      <c r="G942" s="33" t="s">
        <v>34</v>
      </c>
    </row>
    <row r="943" spans="1:7" x14ac:dyDescent="0.3">
      <c r="A943" s="32" t="s">
        <v>983</v>
      </c>
      <c r="B943" s="27">
        <v>45463</v>
      </c>
      <c r="C943" s="26" t="s">
        <v>23</v>
      </c>
      <c r="D943" s="26" t="s">
        <v>15</v>
      </c>
      <c r="E943" s="26" t="s">
        <v>27</v>
      </c>
      <c r="F943" s="28">
        <v>12340.71</v>
      </c>
      <c r="G943" s="33" t="s">
        <v>36</v>
      </c>
    </row>
    <row r="944" spans="1:7" x14ac:dyDescent="0.3">
      <c r="A944" s="32" t="s">
        <v>984</v>
      </c>
      <c r="B944" s="27">
        <v>45463</v>
      </c>
      <c r="C944" s="26" t="s">
        <v>23</v>
      </c>
      <c r="D944" s="26" t="s">
        <v>15</v>
      </c>
      <c r="E944" s="26" t="s">
        <v>27</v>
      </c>
      <c r="F944" s="28">
        <v>5240.1899999999996</v>
      </c>
      <c r="G944" s="33" t="s">
        <v>34</v>
      </c>
    </row>
    <row r="945" spans="1:7" x14ac:dyDescent="0.3">
      <c r="A945" s="32" t="s">
        <v>985</v>
      </c>
      <c r="B945" s="27">
        <v>45463</v>
      </c>
      <c r="C945" s="26" t="s">
        <v>23</v>
      </c>
      <c r="D945" s="26" t="s">
        <v>15</v>
      </c>
      <c r="E945" s="26" t="s">
        <v>31</v>
      </c>
      <c r="F945" s="28">
        <v>3163.92</v>
      </c>
      <c r="G945" s="33" t="s">
        <v>34</v>
      </c>
    </row>
    <row r="946" spans="1:7" x14ac:dyDescent="0.3">
      <c r="A946" s="32" t="s">
        <v>986</v>
      </c>
      <c r="B946" s="27">
        <v>45463</v>
      </c>
      <c r="C946" s="26" t="s">
        <v>23</v>
      </c>
      <c r="D946" s="26" t="s">
        <v>14</v>
      </c>
      <c r="E946" s="26" t="s">
        <v>46</v>
      </c>
      <c r="F946" s="28">
        <v>76176.94</v>
      </c>
      <c r="G946" s="33" t="s">
        <v>34</v>
      </c>
    </row>
    <row r="947" spans="1:7" x14ac:dyDescent="0.3">
      <c r="A947" s="32" t="s">
        <v>987</v>
      </c>
      <c r="B947" s="27">
        <v>45463</v>
      </c>
      <c r="C947" s="26" t="s">
        <v>23</v>
      </c>
      <c r="D947" s="26" t="s">
        <v>14</v>
      </c>
      <c r="E947" s="26" t="s">
        <v>46</v>
      </c>
      <c r="F947" s="28">
        <v>70491.47</v>
      </c>
      <c r="G947" s="33" t="s">
        <v>34</v>
      </c>
    </row>
    <row r="948" spans="1:7" x14ac:dyDescent="0.3">
      <c r="A948" s="32" t="s">
        <v>988</v>
      </c>
      <c r="B948" s="27">
        <v>45464</v>
      </c>
      <c r="C948" s="26" t="s">
        <v>23</v>
      </c>
      <c r="D948" s="26" t="s">
        <v>14</v>
      </c>
      <c r="E948" s="26" t="s">
        <v>46</v>
      </c>
      <c r="F948" s="28">
        <v>39269.43</v>
      </c>
      <c r="G948" s="33" t="s">
        <v>35</v>
      </c>
    </row>
    <row r="949" spans="1:7" x14ac:dyDescent="0.3">
      <c r="A949" s="32" t="s">
        <v>989</v>
      </c>
      <c r="B949" s="27">
        <v>45464</v>
      </c>
      <c r="C949" s="26" t="s">
        <v>23</v>
      </c>
      <c r="D949" s="26" t="s">
        <v>15</v>
      </c>
      <c r="E949" s="26" t="s">
        <v>27</v>
      </c>
      <c r="F949" s="28">
        <v>24141.77</v>
      </c>
      <c r="G949" s="33" t="s">
        <v>34</v>
      </c>
    </row>
    <row r="950" spans="1:7" x14ac:dyDescent="0.3">
      <c r="A950" s="32" t="s">
        <v>990</v>
      </c>
      <c r="B950" s="27">
        <v>45464</v>
      </c>
      <c r="C950" s="26" t="s">
        <v>23</v>
      </c>
      <c r="D950" s="26" t="s">
        <v>15</v>
      </c>
      <c r="E950" s="26" t="s">
        <v>27</v>
      </c>
      <c r="F950" s="28">
        <v>22753.15</v>
      </c>
      <c r="G950" s="33" t="s">
        <v>34</v>
      </c>
    </row>
    <row r="951" spans="1:7" x14ac:dyDescent="0.3">
      <c r="A951" s="32" t="s">
        <v>991</v>
      </c>
      <c r="B951" s="27">
        <v>45464</v>
      </c>
      <c r="C951" s="26" t="s">
        <v>23</v>
      </c>
      <c r="D951" s="26" t="s">
        <v>15</v>
      </c>
      <c r="E951" s="26" t="s">
        <v>27</v>
      </c>
      <c r="F951" s="28">
        <v>20709.990000000002</v>
      </c>
      <c r="G951" s="33" t="s">
        <v>34</v>
      </c>
    </row>
    <row r="952" spans="1:7" x14ac:dyDescent="0.3">
      <c r="A952" s="32" t="s">
        <v>992</v>
      </c>
      <c r="B952" s="27">
        <v>45465</v>
      </c>
      <c r="C952" s="26" t="s">
        <v>23</v>
      </c>
      <c r="D952" s="26" t="s">
        <v>15</v>
      </c>
      <c r="E952" s="26" t="s">
        <v>28</v>
      </c>
      <c r="F952" s="28">
        <v>23476.29</v>
      </c>
      <c r="G952" s="33" t="s">
        <v>34</v>
      </c>
    </row>
    <row r="953" spans="1:7" x14ac:dyDescent="0.3">
      <c r="A953" s="32" t="s">
        <v>993</v>
      </c>
      <c r="B953" s="27">
        <v>45465</v>
      </c>
      <c r="C953" s="26" t="s">
        <v>23</v>
      </c>
      <c r="D953" s="26" t="s">
        <v>15</v>
      </c>
      <c r="E953" s="26" t="s">
        <v>27</v>
      </c>
      <c r="F953" s="28">
        <v>18585.95</v>
      </c>
      <c r="G953" s="33" t="s">
        <v>34</v>
      </c>
    </row>
    <row r="954" spans="1:7" x14ac:dyDescent="0.3">
      <c r="A954" s="32" t="s">
        <v>994</v>
      </c>
      <c r="B954" s="27">
        <v>45465</v>
      </c>
      <c r="C954" s="26" t="s">
        <v>23</v>
      </c>
      <c r="D954" s="26" t="s">
        <v>14</v>
      </c>
      <c r="E954" s="26" t="s">
        <v>46</v>
      </c>
      <c r="F954" s="28">
        <v>23288.39</v>
      </c>
      <c r="G954" s="33" t="s">
        <v>35</v>
      </c>
    </row>
    <row r="955" spans="1:7" x14ac:dyDescent="0.3">
      <c r="A955" s="32" t="s">
        <v>995</v>
      </c>
      <c r="B955" s="27">
        <v>45465</v>
      </c>
      <c r="C955" s="26" t="s">
        <v>23</v>
      </c>
      <c r="D955" s="26" t="s">
        <v>15</v>
      </c>
      <c r="E955" s="26" t="s">
        <v>28</v>
      </c>
      <c r="F955" s="28">
        <v>5664.88</v>
      </c>
      <c r="G955" s="33" t="s">
        <v>34</v>
      </c>
    </row>
    <row r="956" spans="1:7" x14ac:dyDescent="0.3">
      <c r="A956" s="32" t="s">
        <v>996</v>
      </c>
      <c r="B956" s="27">
        <v>45465</v>
      </c>
      <c r="C956" s="26" t="s">
        <v>23</v>
      </c>
      <c r="D956" s="26" t="s">
        <v>15</v>
      </c>
      <c r="E956" s="26" t="s">
        <v>27</v>
      </c>
      <c r="F956" s="28">
        <v>24907.3</v>
      </c>
      <c r="G956" s="33" t="s">
        <v>35</v>
      </c>
    </row>
    <row r="957" spans="1:7" x14ac:dyDescent="0.3">
      <c r="A957" s="32" t="s">
        <v>997</v>
      </c>
      <c r="B957" s="27">
        <v>45466</v>
      </c>
      <c r="C957" s="26" t="s">
        <v>23</v>
      </c>
      <c r="D957" s="26" t="s">
        <v>15</v>
      </c>
      <c r="E957" s="26" t="s">
        <v>30</v>
      </c>
      <c r="F957" s="28">
        <v>12736.75</v>
      </c>
      <c r="G957" s="33" t="s">
        <v>35</v>
      </c>
    </row>
    <row r="958" spans="1:7" x14ac:dyDescent="0.3">
      <c r="A958" s="32" t="s">
        <v>998</v>
      </c>
      <c r="B958" s="27">
        <v>45466</v>
      </c>
      <c r="C958" s="26" t="s">
        <v>23</v>
      </c>
      <c r="D958" s="26" t="s">
        <v>15</v>
      </c>
      <c r="E958" s="26" t="s">
        <v>27</v>
      </c>
      <c r="F958" s="28">
        <v>22218.74</v>
      </c>
      <c r="G958" s="33" t="s">
        <v>35</v>
      </c>
    </row>
    <row r="959" spans="1:7" x14ac:dyDescent="0.3">
      <c r="A959" s="32" t="s">
        <v>999</v>
      </c>
      <c r="B959" s="27">
        <v>45466</v>
      </c>
      <c r="C959" s="26" t="s">
        <v>23</v>
      </c>
      <c r="D959" s="26" t="s">
        <v>14</v>
      </c>
      <c r="E959" s="26" t="s">
        <v>46</v>
      </c>
      <c r="F959" s="28">
        <v>44815.92</v>
      </c>
      <c r="G959" s="33" t="s">
        <v>34</v>
      </c>
    </row>
    <row r="960" spans="1:7" x14ac:dyDescent="0.3">
      <c r="A960" s="32" t="s">
        <v>1000</v>
      </c>
      <c r="B960" s="27">
        <v>45466</v>
      </c>
      <c r="C960" s="26" t="s">
        <v>23</v>
      </c>
      <c r="D960" s="26" t="s">
        <v>14</v>
      </c>
      <c r="E960" s="26" t="s">
        <v>46</v>
      </c>
      <c r="F960" s="28">
        <v>16303.44</v>
      </c>
      <c r="G960" s="33" t="s">
        <v>34</v>
      </c>
    </row>
    <row r="961" spans="1:7" x14ac:dyDescent="0.3">
      <c r="A961" s="32" t="s">
        <v>1001</v>
      </c>
      <c r="B961" s="27">
        <v>45466</v>
      </c>
      <c r="C961" s="26" t="s">
        <v>23</v>
      </c>
      <c r="D961" s="26" t="s">
        <v>15</v>
      </c>
      <c r="E961" s="26" t="s">
        <v>28</v>
      </c>
      <c r="F961" s="28">
        <v>11044.57</v>
      </c>
      <c r="G961" s="33" t="s">
        <v>34</v>
      </c>
    </row>
    <row r="962" spans="1:7" x14ac:dyDescent="0.3">
      <c r="A962" s="32" t="s">
        <v>1002</v>
      </c>
      <c r="B962" s="27">
        <v>45467</v>
      </c>
      <c r="C962" s="26" t="s">
        <v>23</v>
      </c>
      <c r="D962" s="26" t="s">
        <v>14</v>
      </c>
      <c r="E962" s="26" t="s">
        <v>46</v>
      </c>
      <c r="F962" s="28">
        <v>42006.14</v>
      </c>
      <c r="G962" s="33" t="s">
        <v>35</v>
      </c>
    </row>
    <row r="963" spans="1:7" x14ac:dyDescent="0.3">
      <c r="A963" s="32" t="s">
        <v>1003</v>
      </c>
      <c r="B963" s="27">
        <v>45467</v>
      </c>
      <c r="C963" s="26" t="s">
        <v>23</v>
      </c>
      <c r="D963" s="26" t="s">
        <v>15</v>
      </c>
      <c r="E963" s="26" t="s">
        <v>31</v>
      </c>
      <c r="F963" s="28">
        <v>7536.76</v>
      </c>
      <c r="G963" s="33" t="s">
        <v>34</v>
      </c>
    </row>
    <row r="964" spans="1:7" x14ac:dyDescent="0.3">
      <c r="A964" s="32" t="s">
        <v>1004</v>
      </c>
      <c r="B964" s="27">
        <v>45467</v>
      </c>
      <c r="C964" s="26" t="s">
        <v>23</v>
      </c>
      <c r="D964" s="26" t="s">
        <v>14</v>
      </c>
      <c r="E964" s="26" t="s">
        <v>46</v>
      </c>
      <c r="F964" s="28">
        <v>50834.09</v>
      </c>
      <c r="G964" s="33" t="s">
        <v>34</v>
      </c>
    </row>
    <row r="965" spans="1:7" x14ac:dyDescent="0.3">
      <c r="A965" s="32" t="s">
        <v>1005</v>
      </c>
      <c r="B965" s="27">
        <v>45467</v>
      </c>
      <c r="C965" s="26" t="s">
        <v>23</v>
      </c>
      <c r="D965" s="26" t="s">
        <v>15</v>
      </c>
      <c r="E965" s="26" t="s">
        <v>29</v>
      </c>
      <c r="F965" s="28">
        <v>3119.14</v>
      </c>
      <c r="G965" s="33" t="s">
        <v>34</v>
      </c>
    </row>
    <row r="966" spans="1:7" x14ac:dyDescent="0.3">
      <c r="A966" s="32" t="s">
        <v>1006</v>
      </c>
      <c r="B966" s="27">
        <v>45467</v>
      </c>
      <c r="C966" s="26" t="s">
        <v>23</v>
      </c>
      <c r="D966" s="26" t="s">
        <v>14</v>
      </c>
      <c r="E966" s="26" t="s">
        <v>46</v>
      </c>
      <c r="F966" s="28">
        <v>29694.94</v>
      </c>
      <c r="G966" s="33" t="s">
        <v>34</v>
      </c>
    </row>
    <row r="967" spans="1:7" x14ac:dyDescent="0.3">
      <c r="A967" s="32" t="s">
        <v>1007</v>
      </c>
      <c r="B967" s="27">
        <v>45467</v>
      </c>
      <c r="C967" s="26" t="s">
        <v>23</v>
      </c>
      <c r="D967" s="26" t="s">
        <v>15</v>
      </c>
      <c r="E967" s="26" t="s">
        <v>28</v>
      </c>
      <c r="F967" s="28">
        <v>15742.93</v>
      </c>
      <c r="G967" s="33" t="s">
        <v>34</v>
      </c>
    </row>
    <row r="968" spans="1:7" x14ac:dyDescent="0.3">
      <c r="A968" s="32" t="s">
        <v>1008</v>
      </c>
      <c r="B968" s="27">
        <v>45468</v>
      </c>
      <c r="C968" s="26" t="s">
        <v>23</v>
      </c>
      <c r="D968" s="26" t="s">
        <v>15</v>
      </c>
      <c r="E968" s="26" t="s">
        <v>27</v>
      </c>
      <c r="F968" s="28">
        <v>21385.54</v>
      </c>
      <c r="G968" s="33" t="s">
        <v>34</v>
      </c>
    </row>
    <row r="969" spans="1:7" x14ac:dyDescent="0.3">
      <c r="A969" s="32" t="s">
        <v>1009</v>
      </c>
      <c r="B969" s="27">
        <v>45468</v>
      </c>
      <c r="C969" s="26" t="s">
        <v>23</v>
      </c>
      <c r="D969" s="26" t="s">
        <v>14</v>
      </c>
      <c r="E969" s="26" t="s">
        <v>46</v>
      </c>
      <c r="F969" s="28">
        <v>57076.44</v>
      </c>
      <c r="G969" s="33" t="s">
        <v>35</v>
      </c>
    </row>
    <row r="970" spans="1:7" x14ac:dyDescent="0.3">
      <c r="A970" s="32" t="s">
        <v>1010</v>
      </c>
      <c r="B970" s="27">
        <v>45468</v>
      </c>
      <c r="C970" s="26" t="s">
        <v>23</v>
      </c>
      <c r="D970" s="26" t="s">
        <v>15</v>
      </c>
      <c r="E970" s="26" t="s">
        <v>27</v>
      </c>
      <c r="F970" s="28">
        <v>8572.2099999999991</v>
      </c>
      <c r="G970" s="33" t="s">
        <v>34</v>
      </c>
    </row>
    <row r="971" spans="1:7" x14ac:dyDescent="0.3">
      <c r="A971" s="32" t="s">
        <v>1011</v>
      </c>
      <c r="B971" s="27">
        <v>45468</v>
      </c>
      <c r="C971" s="26" t="s">
        <v>23</v>
      </c>
      <c r="D971" s="26" t="s">
        <v>15</v>
      </c>
      <c r="E971" s="26" t="s">
        <v>29</v>
      </c>
      <c r="F971" s="28">
        <v>2188.08</v>
      </c>
      <c r="G971" s="33" t="s">
        <v>34</v>
      </c>
    </row>
    <row r="972" spans="1:7" x14ac:dyDescent="0.3">
      <c r="A972" s="32" t="s">
        <v>1012</v>
      </c>
      <c r="B972" s="27">
        <v>45468</v>
      </c>
      <c r="C972" s="26" t="s">
        <v>23</v>
      </c>
      <c r="D972" s="26" t="s">
        <v>15</v>
      </c>
      <c r="E972" s="26" t="s">
        <v>31</v>
      </c>
      <c r="F972" s="28">
        <v>4472.43</v>
      </c>
      <c r="G972" s="33" t="s">
        <v>34</v>
      </c>
    </row>
    <row r="973" spans="1:7" x14ac:dyDescent="0.3">
      <c r="A973" s="32" t="s">
        <v>1013</v>
      </c>
      <c r="B973" s="27">
        <v>45468</v>
      </c>
      <c r="C973" s="26" t="s">
        <v>23</v>
      </c>
      <c r="D973" s="26" t="s">
        <v>15</v>
      </c>
      <c r="E973" s="26" t="s">
        <v>29</v>
      </c>
      <c r="F973" s="28">
        <v>5080.5</v>
      </c>
      <c r="G973" s="33" t="s">
        <v>34</v>
      </c>
    </row>
    <row r="974" spans="1:7" x14ac:dyDescent="0.3">
      <c r="A974" s="32" t="s">
        <v>1014</v>
      </c>
      <c r="B974" s="27">
        <v>45468</v>
      </c>
      <c r="C974" s="26" t="s">
        <v>23</v>
      </c>
      <c r="D974" s="26" t="s">
        <v>15</v>
      </c>
      <c r="E974" s="26" t="s">
        <v>28</v>
      </c>
      <c r="F974" s="28">
        <v>8082.88</v>
      </c>
      <c r="G974" s="33" t="s">
        <v>34</v>
      </c>
    </row>
    <row r="975" spans="1:7" x14ac:dyDescent="0.3">
      <c r="A975" s="32" t="s">
        <v>1015</v>
      </c>
      <c r="B975" s="27">
        <v>45468</v>
      </c>
      <c r="C975" s="26" t="s">
        <v>23</v>
      </c>
      <c r="D975" s="26" t="s">
        <v>14</v>
      </c>
      <c r="E975" s="26" t="s">
        <v>46</v>
      </c>
      <c r="F975" s="28">
        <v>35604.43</v>
      </c>
      <c r="G975" s="33" t="s">
        <v>35</v>
      </c>
    </row>
    <row r="976" spans="1:7" x14ac:dyDescent="0.3">
      <c r="A976" s="32" t="s">
        <v>1016</v>
      </c>
      <c r="B976" s="27">
        <v>45469</v>
      </c>
      <c r="C976" s="26" t="s">
        <v>23</v>
      </c>
      <c r="D976" s="26" t="s">
        <v>14</v>
      </c>
      <c r="E976" s="26" t="s">
        <v>46</v>
      </c>
      <c r="F976" s="28">
        <v>38227.79</v>
      </c>
      <c r="G976" s="33" t="s">
        <v>34</v>
      </c>
    </row>
    <row r="977" spans="1:7" x14ac:dyDescent="0.3">
      <c r="A977" s="32" t="s">
        <v>1017</v>
      </c>
      <c r="B977" s="27">
        <v>45469</v>
      </c>
      <c r="C977" s="26" t="s">
        <v>23</v>
      </c>
      <c r="D977" s="26" t="s">
        <v>14</v>
      </c>
      <c r="E977" s="26" t="s">
        <v>46</v>
      </c>
      <c r="F977" s="28">
        <v>13166.97</v>
      </c>
      <c r="G977" s="33" t="s">
        <v>35</v>
      </c>
    </row>
    <row r="978" spans="1:7" x14ac:dyDescent="0.3">
      <c r="A978" s="32" t="s">
        <v>1018</v>
      </c>
      <c r="B978" s="27">
        <v>45470</v>
      </c>
      <c r="C978" s="26" t="s">
        <v>23</v>
      </c>
      <c r="D978" s="26" t="s">
        <v>15</v>
      </c>
      <c r="E978" s="26" t="s">
        <v>29</v>
      </c>
      <c r="F978" s="28">
        <v>3176.63</v>
      </c>
      <c r="G978" s="33" t="s">
        <v>34</v>
      </c>
    </row>
    <row r="979" spans="1:7" x14ac:dyDescent="0.3">
      <c r="A979" s="32" t="s">
        <v>1019</v>
      </c>
      <c r="B979" s="27">
        <v>45470</v>
      </c>
      <c r="C979" s="26" t="s">
        <v>23</v>
      </c>
      <c r="D979" s="26" t="s">
        <v>14</v>
      </c>
      <c r="E979" s="26" t="s">
        <v>46</v>
      </c>
      <c r="F979" s="28">
        <v>49327.18</v>
      </c>
      <c r="G979" s="33" t="s">
        <v>34</v>
      </c>
    </row>
    <row r="980" spans="1:7" x14ac:dyDescent="0.3">
      <c r="A980" s="32" t="s">
        <v>1020</v>
      </c>
      <c r="B980" s="27">
        <v>45470</v>
      </c>
      <c r="C980" s="26" t="s">
        <v>23</v>
      </c>
      <c r="D980" s="26" t="s">
        <v>15</v>
      </c>
      <c r="E980" s="26" t="s">
        <v>28</v>
      </c>
      <c r="F980" s="28">
        <v>10338.049999999999</v>
      </c>
      <c r="G980" s="33" t="s">
        <v>35</v>
      </c>
    </row>
    <row r="981" spans="1:7" x14ac:dyDescent="0.3">
      <c r="A981" s="32" t="s">
        <v>1021</v>
      </c>
      <c r="B981" s="27">
        <v>45470</v>
      </c>
      <c r="C981" s="26" t="s">
        <v>23</v>
      </c>
      <c r="D981" s="26" t="s">
        <v>15</v>
      </c>
      <c r="E981" s="26" t="s">
        <v>27</v>
      </c>
      <c r="F981" s="28">
        <v>8637.84</v>
      </c>
      <c r="G981" s="33" t="s">
        <v>34</v>
      </c>
    </row>
    <row r="982" spans="1:7" x14ac:dyDescent="0.3">
      <c r="A982" s="32" t="s">
        <v>1022</v>
      </c>
      <c r="B982" s="27">
        <v>45470</v>
      </c>
      <c r="C982" s="26" t="s">
        <v>23</v>
      </c>
      <c r="D982" s="26" t="s">
        <v>14</v>
      </c>
      <c r="E982" s="26" t="s">
        <v>46</v>
      </c>
      <c r="F982" s="28">
        <v>37044.42</v>
      </c>
      <c r="G982" s="33" t="s">
        <v>34</v>
      </c>
    </row>
    <row r="983" spans="1:7" x14ac:dyDescent="0.3">
      <c r="A983" s="32" t="s">
        <v>1023</v>
      </c>
      <c r="B983" s="27">
        <v>45470</v>
      </c>
      <c r="C983" s="26" t="s">
        <v>23</v>
      </c>
      <c r="D983" s="26" t="s">
        <v>15</v>
      </c>
      <c r="E983" s="26" t="s">
        <v>28</v>
      </c>
      <c r="F983" s="28">
        <v>12358.15</v>
      </c>
      <c r="G983" s="33" t="s">
        <v>34</v>
      </c>
    </row>
    <row r="984" spans="1:7" x14ac:dyDescent="0.3">
      <c r="A984" s="32" t="s">
        <v>1024</v>
      </c>
      <c r="B984" s="27">
        <v>45470</v>
      </c>
      <c r="C984" s="26" t="s">
        <v>23</v>
      </c>
      <c r="D984" s="26" t="s">
        <v>14</v>
      </c>
      <c r="E984" s="26" t="s">
        <v>46</v>
      </c>
      <c r="F984" s="28">
        <v>48490</v>
      </c>
      <c r="G984" s="33" t="s">
        <v>34</v>
      </c>
    </row>
    <row r="985" spans="1:7" x14ac:dyDescent="0.3">
      <c r="A985" s="32" t="s">
        <v>1025</v>
      </c>
      <c r="B985" s="27">
        <v>45470</v>
      </c>
      <c r="C985" s="26" t="s">
        <v>23</v>
      </c>
      <c r="D985" s="26" t="s">
        <v>14</v>
      </c>
      <c r="E985" s="26" t="s">
        <v>46</v>
      </c>
      <c r="F985" s="28">
        <v>67771.789999999994</v>
      </c>
      <c r="G985" s="33" t="s">
        <v>35</v>
      </c>
    </row>
    <row r="986" spans="1:7" x14ac:dyDescent="0.3">
      <c r="A986" s="32" t="s">
        <v>1026</v>
      </c>
      <c r="B986" s="27">
        <v>45471</v>
      </c>
      <c r="C986" s="26" t="s">
        <v>23</v>
      </c>
      <c r="D986" s="26" t="s">
        <v>15</v>
      </c>
      <c r="E986" s="26" t="s">
        <v>31</v>
      </c>
      <c r="F986" s="28">
        <v>16334.56</v>
      </c>
      <c r="G986" s="33" t="s">
        <v>34</v>
      </c>
    </row>
    <row r="987" spans="1:7" x14ac:dyDescent="0.3">
      <c r="A987" s="32" t="s">
        <v>1027</v>
      </c>
      <c r="B987" s="27">
        <v>45471</v>
      </c>
      <c r="C987" s="26" t="s">
        <v>23</v>
      </c>
      <c r="D987" s="26" t="s">
        <v>15</v>
      </c>
      <c r="E987" s="26" t="s">
        <v>27</v>
      </c>
      <c r="F987" s="28">
        <v>16053.99</v>
      </c>
      <c r="G987" s="33" t="s">
        <v>35</v>
      </c>
    </row>
    <row r="988" spans="1:7" x14ac:dyDescent="0.3">
      <c r="A988" s="32" t="s">
        <v>1028</v>
      </c>
      <c r="B988" s="27">
        <v>45471</v>
      </c>
      <c r="C988" s="26" t="s">
        <v>23</v>
      </c>
      <c r="D988" s="26" t="s">
        <v>15</v>
      </c>
      <c r="E988" s="26" t="s">
        <v>29</v>
      </c>
      <c r="F988" s="28">
        <v>4959.26</v>
      </c>
      <c r="G988" s="33" t="s">
        <v>35</v>
      </c>
    </row>
    <row r="989" spans="1:7" x14ac:dyDescent="0.3">
      <c r="A989" s="32" t="s">
        <v>1029</v>
      </c>
      <c r="B989" s="27">
        <v>45471</v>
      </c>
      <c r="C989" s="26" t="s">
        <v>23</v>
      </c>
      <c r="D989" s="26" t="s">
        <v>15</v>
      </c>
      <c r="E989" s="26" t="s">
        <v>27</v>
      </c>
      <c r="F989" s="28">
        <v>4223.67</v>
      </c>
      <c r="G989" s="33" t="s">
        <v>34</v>
      </c>
    </row>
    <row r="990" spans="1:7" x14ac:dyDescent="0.3">
      <c r="A990" s="32" t="s">
        <v>1030</v>
      </c>
      <c r="B990" s="27">
        <v>45471</v>
      </c>
      <c r="C990" s="26" t="s">
        <v>23</v>
      </c>
      <c r="D990" s="26" t="s">
        <v>14</v>
      </c>
      <c r="E990" s="26" t="s">
        <v>46</v>
      </c>
      <c r="F990" s="28">
        <v>36123.879999999997</v>
      </c>
      <c r="G990" s="33" t="s">
        <v>36</v>
      </c>
    </row>
    <row r="991" spans="1:7" x14ac:dyDescent="0.3">
      <c r="A991" s="32" t="s">
        <v>1031</v>
      </c>
      <c r="B991" s="27">
        <v>45471</v>
      </c>
      <c r="C991" s="26" t="s">
        <v>23</v>
      </c>
      <c r="D991" s="26" t="s">
        <v>15</v>
      </c>
      <c r="E991" s="26" t="s">
        <v>28</v>
      </c>
      <c r="F991" s="28">
        <v>24696.12</v>
      </c>
      <c r="G991" s="33" t="s">
        <v>34</v>
      </c>
    </row>
    <row r="992" spans="1:7" x14ac:dyDescent="0.3">
      <c r="A992" s="32" t="s">
        <v>1032</v>
      </c>
      <c r="B992" s="27">
        <v>45471</v>
      </c>
      <c r="C992" s="26" t="s">
        <v>23</v>
      </c>
      <c r="D992" s="26" t="s">
        <v>15</v>
      </c>
      <c r="E992" s="26" t="s">
        <v>27</v>
      </c>
      <c r="F992" s="28">
        <v>14830.13</v>
      </c>
      <c r="G992" s="33" t="s">
        <v>36</v>
      </c>
    </row>
    <row r="993" spans="1:7" x14ac:dyDescent="0.3">
      <c r="A993" s="32" t="s">
        <v>1033</v>
      </c>
      <c r="B993" s="27">
        <v>45472</v>
      </c>
      <c r="C993" s="26" t="s">
        <v>23</v>
      </c>
      <c r="D993" s="26" t="s">
        <v>15</v>
      </c>
      <c r="E993" s="26" t="s">
        <v>28</v>
      </c>
      <c r="F993" s="28">
        <v>10408.950000000001</v>
      </c>
      <c r="G993" s="33" t="s">
        <v>34</v>
      </c>
    </row>
    <row r="994" spans="1:7" x14ac:dyDescent="0.3">
      <c r="A994" s="32" t="s">
        <v>1034</v>
      </c>
      <c r="B994" s="27">
        <v>45472</v>
      </c>
      <c r="C994" s="26" t="s">
        <v>23</v>
      </c>
      <c r="D994" s="26" t="s">
        <v>14</v>
      </c>
      <c r="E994" s="26" t="s">
        <v>46</v>
      </c>
      <c r="F994" s="28">
        <v>20098.72</v>
      </c>
      <c r="G994" s="33" t="s">
        <v>35</v>
      </c>
    </row>
    <row r="995" spans="1:7" x14ac:dyDescent="0.3">
      <c r="A995" s="32" t="s">
        <v>1035</v>
      </c>
      <c r="B995" s="27">
        <v>45472</v>
      </c>
      <c r="C995" s="26" t="s">
        <v>23</v>
      </c>
      <c r="D995" s="26" t="s">
        <v>15</v>
      </c>
      <c r="E995" s="26" t="s">
        <v>30</v>
      </c>
      <c r="F995" s="28">
        <v>15856.65</v>
      </c>
      <c r="G995" s="33" t="s">
        <v>34</v>
      </c>
    </row>
    <row r="996" spans="1:7" x14ac:dyDescent="0.3">
      <c r="A996" s="32" t="s">
        <v>1036</v>
      </c>
      <c r="B996" s="27">
        <v>45472</v>
      </c>
      <c r="C996" s="26" t="s">
        <v>23</v>
      </c>
      <c r="D996" s="26" t="s">
        <v>15</v>
      </c>
      <c r="E996" s="26" t="s">
        <v>27</v>
      </c>
      <c r="F996" s="28">
        <v>11231.9</v>
      </c>
      <c r="G996" s="33" t="s">
        <v>34</v>
      </c>
    </row>
    <row r="997" spans="1:7" x14ac:dyDescent="0.3">
      <c r="A997" s="32" t="s">
        <v>1037</v>
      </c>
      <c r="B997" s="27">
        <v>45472</v>
      </c>
      <c r="C997" s="26" t="s">
        <v>23</v>
      </c>
      <c r="D997" s="26" t="s">
        <v>14</v>
      </c>
      <c r="E997" s="26" t="s">
        <v>46</v>
      </c>
      <c r="F997" s="28">
        <v>12817.84</v>
      </c>
      <c r="G997" s="33" t="s">
        <v>34</v>
      </c>
    </row>
    <row r="998" spans="1:7" x14ac:dyDescent="0.3">
      <c r="A998" s="32" t="s">
        <v>1038</v>
      </c>
      <c r="B998" s="27">
        <v>45473</v>
      </c>
      <c r="C998" s="26" t="s">
        <v>23</v>
      </c>
      <c r="D998" s="26" t="s">
        <v>15</v>
      </c>
      <c r="E998" s="26" t="s">
        <v>29</v>
      </c>
      <c r="F998" s="28">
        <v>2895.02</v>
      </c>
      <c r="G998" s="33" t="s">
        <v>35</v>
      </c>
    </row>
    <row r="999" spans="1:7" x14ac:dyDescent="0.3">
      <c r="A999" s="32" t="s">
        <v>1039</v>
      </c>
      <c r="B999" s="27">
        <v>45473</v>
      </c>
      <c r="C999" s="26" t="s">
        <v>23</v>
      </c>
      <c r="D999" s="26" t="s">
        <v>14</v>
      </c>
      <c r="E999" s="26" t="s">
        <v>46</v>
      </c>
      <c r="F999" s="28">
        <v>59951.43</v>
      </c>
      <c r="G999" s="33" t="s">
        <v>34</v>
      </c>
    </row>
    <row r="1000" spans="1:7" x14ac:dyDescent="0.3">
      <c r="A1000" s="32" t="s">
        <v>1040</v>
      </c>
      <c r="B1000" s="27">
        <v>45473</v>
      </c>
      <c r="C1000" s="26" t="s">
        <v>23</v>
      </c>
      <c r="D1000" s="26" t="s">
        <v>15</v>
      </c>
      <c r="E1000" s="26" t="s">
        <v>30</v>
      </c>
      <c r="F1000" s="28">
        <v>20491.21</v>
      </c>
      <c r="G1000" s="33" t="s">
        <v>34</v>
      </c>
    </row>
    <row r="1001" spans="1:7" ht="15" thickBot="1" x14ac:dyDescent="0.35">
      <c r="A1001" s="36" t="s">
        <v>1041</v>
      </c>
      <c r="B1001" s="37">
        <v>45473</v>
      </c>
      <c r="C1001" s="38" t="s">
        <v>23</v>
      </c>
      <c r="D1001" s="38" t="s">
        <v>15</v>
      </c>
      <c r="E1001" s="38" t="s">
        <v>31</v>
      </c>
      <c r="F1001" s="39">
        <v>13944.65</v>
      </c>
      <c r="G1001" s="40" t="s">
        <v>35</v>
      </c>
    </row>
    <row r="1002" spans="1:7" ht="15" thickBot="1" x14ac:dyDescent="0.35">
      <c r="A1002" s="41" t="s">
        <v>24</v>
      </c>
      <c r="B1002" s="42"/>
      <c r="C1002" s="42"/>
      <c r="D1002" s="42"/>
      <c r="E1002" s="43"/>
      <c r="F1002" s="44">
        <f>SUM(F2:F1001)</f>
        <v>24747885.18</v>
      </c>
      <c r="G1002" s="45"/>
    </row>
  </sheetData>
  <mergeCells count="1">
    <mergeCell ref="A1002:E10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Summary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Kumar Prajapati</cp:lastModifiedBy>
  <dcterms:created xsi:type="dcterms:W3CDTF">2026-05-30T16:47:56Z</dcterms:created>
  <dcterms:modified xsi:type="dcterms:W3CDTF">2026-05-30T17:01:53Z</dcterms:modified>
</cp:coreProperties>
</file>